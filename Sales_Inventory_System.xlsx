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Primary Sales Entry" sheetId="2" state="visible" r:id="rId2"/>
    <sheet name="Day 01" sheetId="3" state="visible" r:id="rId3"/>
    <sheet name="Day 02" sheetId="4" state="visible" r:id="rId4"/>
    <sheet name="Day 03" sheetId="5" state="visible" r:id="rId5"/>
    <sheet name="Day 04" sheetId="6" state="visible" r:id="rId6"/>
    <sheet name="Day 05" sheetId="7" state="visible" r:id="rId7"/>
    <sheet name="Day 06" sheetId="8" state="visible" r:id="rId8"/>
    <sheet name="Day 07" sheetId="9" state="visible" r:id="rId9"/>
    <sheet name="Day 08" sheetId="10" state="visible" r:id="rId10"/>
    <sheet name="Day 09" sheetId="11" state="visible" r:id="rId11"/>
    <sheet name="Day 10" sheetId="12" state="visible" r:id="rId12"/>
    <sheet name="Day 11" sheetId="13" state="visible" r:id="rId13"/>
    <sheet name="Day 12" sheetId="14" state="visible" r:id="rId14"/>
    <sheet name="Day 13" sheetId="15" state="visible" r:id="rId15"/>
    <sheet name="Day 14" sheetId="16" state="visible" r:id="rId16"/>
    <sheet name="Day 15" sheetId="17" state="visible" r:id="rId17"/>
    <sheet name="Day 16" sheetId="18" state="visible" r:id="rId18"/>
    <sheet name="Day 17" sheetId="19" state="visible" r:id="rId19"/>
    <sheet name="Day 18" sheetId="20" state="visible" r:id="rId20"/>
    <sheet name="Day 19" sheetId="21" state="visible" r:id="rId21"/>
    <sheet name="Day 20" sheetId="22" state="visible" r:id="rId22"/>
    <sheet name="Day 21" sheetId="23" state="visible" r:id="rId23"/>
    <sheet name="Day 22" sheetId="24" state="visible" r:id="rId24"/>
    <sheet name="Day 23" sheetId="25" state="visible" r:id="rId25"/>
    <sheet name="Day 24" sheetId="26" state="visible" r:id="rId26"/>
    <sheet name="Day 25" sheetId="27" state="visible" r:id="rId27"/>
    <sheet name="Day 26" sheetId="28" state="visible" r:id="rId28"/>
    <sheet name="Day 27" sheetId="29" state="visible" r:id="rId29"/>
    <sheet name="Day 28" sheetId="30" state="visible" r:id="rId30"/>
    <sheet name="Day 29" sheetId="31" state="visible" r:id="rId31"/>
    <sheet name="Day 30" sheetId="32" state="visible" r:id="rId32"/>
    <sheet name="Day 31" sheetId="33" state="visible" r:id="rId33"/>
    <sheet name="Secondary Sales Summary" sheetId="34" state="visible" r:id="rId34"/>
    <sheet name="Primary Sales Summary" sheetId="35" state="visible" r:id="rId35"/>
    <sheet name="Stock Report" sheetId="36" state="visible" r:id="rId36"/>
    <sheet name="Dashboard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i val="1"/>
      <sz val="10"/>
    </font>
    <font>
      <b val="1"/>
      <sz val="12"/>
    </font>
    <font>
      <b val="1"/>
      <sz val="11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55A11"/>
        <b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4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0" pivotButton="0" quotePrefix="0" xfId="0"/>
    <xf numFmtId="0" fontId="2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2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SKU MASTER DATA</t>
        </is>
      </c>
    </row>
    <row r="3">
      <c r="A3" s="2" t="inlineStr">
        <is>
          <t>SKU #</t>
        </is>
      </c>
      <c r="B3" s="2" t="inlineStr">
        <is>
          <t>SKU Name</t>
        </is>
      </c>
      <c r="C3" s="2" t="inlineStr">
        <is>
          <t>Brand</t>
        </is>
      </c>
      <c r="D3" s="2" t="inlineStr">
        <is>
          <t>Units/Ctn</t>
        </is>
      </c>
      <c r="E3" s="2" t="inlineStr">
        <is>
          <t>Price/Pack (Rs)</t>
        </is>
      </c>
    </row>
    <row r="4">
      <c r="A4" t="n">
        <v>1</v>
      </c>
      <c r="B4" t="inlineStr">
        <is>
          <t>Kite Rs 10</t>
        </is>
      </c>
      <c r="C4" t="inlineStr">
        <is>
          <t>Kite Glow</t>
        </is>
      </c>
      <c r="D4" t="n">
        <v>144</v>
      </c>
      <c r="E4" s="3" t="n">
        <v>8.68</v>
      </c>
    </row>
    <row r="5">
      <c r="A5" t="n">
        <v>2</v>
      </c>
      <c r="B5" t="inlineStr">
        <is>
          <t>Kite Rs 20</t>
        </is>
      </c>
      <c r="C5" t="inlineStr">
        <is>
          <t>Kite Glow</t>
        </is>
      </c>
      <c r="D5" t="n">
        <v>96</v>
      </c>
      <c r="E5" s="3" t="n">
        <v>16.28</v>
      </c>
    </row>
    <row r="6">
      <c r="A6" t="n">
        <v>3</v>
      </c>
      <c r="B6" t="inlineStr">
        <is>
          <t>Kite Rs 50</t>
        </is>
      </c>
      <c r="C6" t="inlineStr">
        <is>
          <t>Kite Glow</t>
        </is>
      </c>
      <c r="D6" t="n">
        <v>48</v>
      </c>
      <c r="E6" s="3" t="n">
        <v>44.64</v>
      </c>
    </row>
    <row r="7">
      <c r="A7" t="n">
        <v>4</v>
      </c>
      <c r="B7" t="inlineStr">
        <is>
          <t>Kite Rs 99</t>
        </is>
      </c>
      <c r="C7" t="inlineStr">
        <is>
          <t>Kite Glow</t>
        </is>
      </c>
      <c r="D7" t="n">
        <v>24</v>
      </c>
      <c r="E7" s="3" t="n">
        <v>86.65000000000001</v>
      </c>
    </row>
    <row r="8">
      <c r="A8" t="n">
        <v>5</v>
      </c>
      <c r="B8" t="inlineStr">
        <is>
          <t>Kite 0.5kg</t>
        </is>
      </c>
      <c r="C8" t="inlineStr">
        <is>
          <t>Kite Glow</t>
        </is>
      </c>
      <c r="D8" t="n">
        <v>24</v>
      </c>
      <c r="E8" s="3" t="n">
        <v>148.8</v>
      </c>
    </row>
    <row r="9">
      <c r="A9" t="n">
        <v>6</v>
      </c>
      <c r="B9" t="inlineStr">
        <is>
          <t>Kite 1kg</t>
        </is>
      </c>
      <c r="C9" t="inlineStr">
        <is>
          <t>Kite Glow</t>
        </is>
      </c>
      <c r="D9" t="n">
        <v>12</v>
      </c>
      <c r="E9" s="3" t="n">
        <v>279</v>
      </c>
    </row>
    <row r="10">
      <c r="A10" t="n">
        <v>7</v>
      </c>
      <c r="B10" t="inlineStr">
        <is>
          <t>Kite 2kg</t>
        </is>
      </c>
      <c r="C10" t="inlineStr">
        <is>
          <t>Kite Glow</t>
        </is>
      </c>
      <c r="D10" t="n">
        <v>6</v>
      </c>
      <c r="E10" t="inlineStr"/>
    </row>
    <row r="11">
      <c r="A11" t="n">
        <v>8</v>
      </c>
      <c r="B11" t="inlineStr">
        <is>
          <t>Burq Rs 10</t>
        </is>
      </c>
      <c r="C11" t="inlineStr">
        <is>
          <t>Burq Action</t>
        </is>
      </c>
      <c r="D11" t="n">
        <v>204</v>
      </c>
      <c r="E11" t="inlineStr"/>
    </row>
    <row r="12">
      <c r="A12" t="n">
        <v>9</v>
      </c>
      <c r="B12" t="inlineStr">
        <is>
          <t>Burq Rs 20</t>
        </is>
      </c>
      <c r="C12" t="inlineStr">
        <is>
          <t>Burq Action</t>
        </is>
      </c>
      <c r="D12" t="n">
        <v>96</v>
      </c>
      <c r="E12" t="inlineStr"/>
    </row>
    <row r="13">
      <c r="A13" t="n">
        <v>10</v>
      </c>
      <c r="B13" t="inlineStr">
        <is>
          <t>Burq Rs 50</t>
        </is>
      </c>
      <c r="C13" t="inlineStr">
        <is>
          <t>Burq Action</t>
        </is>
      </c>
      <c r="D13" t="n">
        <v>48</v>
      </c>
      <c r="E13" t="inlineStr"/>
    </row>
    <row r="14">
      <c r="A14" t="n">
        <v>11</v>
      </c>
      <c r="B14" t="inlineStr">
        <is>
          <t>Burq Rs 99</t>
        </is>
      </c>
      <c r="C14" t="inlineStr">
        <is>
          <t>Burq Action</t>
        </is>
      </c>
      <c r="D14" t="n">
        <v>24</v>
      </c>
      <c r="E14" t="inlineStr"/>
    </row>
    <row r="15">
      <c r="A15" t="n">
        <v>12</v>
      </c>
      <c r="B15" t="inlineStr">
        <is>
          <t>Burq 1kg</t>
        </is>
      </c>
      <c r="C15" t="inlineStr">
        <is>
          <t>Burq Action</t>
        </is>
      </c>
      <c r="D15" t="n">
        <v>12</v>
      </c>
      <c r="E15" t="inlineStr"/>
    </row>
    <row r="16">
      <c r="A16" t="n">
        <v>13</v>
      </c>
      <c r="B16" t="inlineStr">
        <is>
          <t>Burq 2.3kg</t>
        </is>
      </c>
      <c r="C16" t="inlineStr">
        <is>
          <t>Burq Action</t>
        </is>
      </c>
      <c r="D16" t="n">
        <v>6</v>
      </c>
      <c r="E16" t="inlineStr"/>
    </row>
    <row r="17">
      <c r="A17" t="n">
        <v>14</v>
      </c>
      <c r="B17" t="inlineStr">
        <is>
          <t>Vero 5kg</t>
        </is>
      </c>
      <c r="C17" t="inlineStr">
        <is>
          <t>Vero</t>
        </is>
      </c>
      <c r="D17" t="n">
        <v>4</v>
      </c>
      <c r="E17" t="inlineStr"/>
    </row>
    <row r="18">
      <c r="A18" t="n">
        <v>15</v>
      </c>
      <c r="B18" t="inlineStr">
        <is>
          <t>Vero 20kg</t>
        </is>
      </c>
      <c r="C18" t="inlineStr">
        <is>
          <t>Vero</t>
        </is>
      </c>
      <c r="D18" t="n">
        <v>1</v>
      </c>
      <c r="E18" t="inlineStr"/>
    </row>
    <row r="19">
      <c r="A19" t="n">
        <v>16</v>
      </c>
      <c r="B19" t="inlineStr">
        <is>
          <t>Regular</t>
        </is>
      </c>
      <c r="C19" t="inlineStr">
        <is>
          <t>DWB</t>
        </is>
      </c>
      <c r="D19" t="n">
        <v>48</v>
      </c>
      <c r="E19" t="inlineStr"/>
    </row>
    <row r="20">
      <c r="A20" t="n">
        <v>17</v>
      </c>
      <c r="B20" t="inlineStr">
        <is>
          <t>Large</t>
        </is>
      </c>
      <c r="C20" t="inlineStr">
        <is>
          <t>DWB</t>
        </is>
      </c>
      <c r="D20" t="n">
        <v>36</v>
      </c>
      <c r="E20" t="inlineStr"/>
    </row>
    <row r="21">
      <c r="A21" t="n">
        <v>18</v>
      </c>
      <c r="B21" t="inlineStr">
        <is>
          <t>Long Bar</t>
        </is>
      </c>
      <c r="C21" t="inlineStr">
        <is>
          <t>DWB</t>
        </is>
      </c>
      <c r="D21" t="n">
        <v>36</v>
      </c>
      <c r="E21" t="inlineStr"/>
    </row>
    <row r="22">
      <c r="A22" t="n">
        <v>19</v>
      </c>
      <c r="B22" t="inlineStr">
        <is>
          <t>Super Bar</t>
        </is>
      </c>
      <c r="C22" t="inlineStr">
        <is>
          <t>DWB</t>
        </is>
      </c>
      <c r="D22" t="n">
        <v>36</v>
      </c>
      <c r="E22" t="inlineStr"/>
    </row>
    <row r="23">
      <c r="A23" t="n">
        <v>20</v>
      </c>
      <c r="B23" t="inlineStr">
        <is>
          <t>Kite (L)</t>
        </is>
      </c>
      <c r="C23" t="inlineStr">
        <is>
          <t>Match</t>
        </is>
      </c>
      <c r="D23" t="n">
        <v>10</v>
      </c>
      <c r="E23" t="inlineStr"/>
    </row>
    <row r="24">
      <c r="A24" t="n">
        <v>21</v>
      </c>
      <c r="B24" t="inlineStr">
        <is>
          <t>Kite (C)</t>
        </is>
      </c>
      <c r="C24" t="inlineStr">
        <is>
          <t>Match</t>
        </is>
      </c>
      <c r="D24" t="n">
        <v>10</v>
      </c>
      <c r="E24" t="inlineStr"/>
    </row>
    <row r="25">
      <c r="A25" t="n">
        <v>22</v>
      </c>
      <c r="B25" t="inlineStr">
        <is>
          <t>Kite (R)</t>
        </is>
      </c>
      <c r="C25" t="inlineStr">
        <is>
          <t>Match</t>
        </is>
      </c>
      <c r="D25" t="n">
        <v>20</v>
      </c>
      <c r="E25" t="inlineStr"/>
    </row>
    <row r="26">
      <c r="A26" t="n">
        <v>23</v>
      </c>
      <c r="B26" t="inlineStr">
        <is>
          <t>Kite (S)</t>
        </is>
      </c>
      <c r="C26" t="inlineStr">
        <is>
          <t>Match</t>
        </is>
      </c>
      <c r="D26" t="n">
        <v>20</v>
      </c>
      <c r="E26" t="inlineStr"/>
    </row>
    <row r="27">
      <c r="A27" t="n">
        <v>24</v>
      </c>
      <c r="B27" t="inlineStr">
        <is>
          <t>Olympia (L)</t>
        </is>
      </c>
      <c r="C27" t="inlineStr">
        <is>
          <t>Match</t>
        </is>
      </c>
      <c r="D27" t="n">
        <v>10</v>
      </c>
      <c r="E27" t="inlineStr"/>
    </row>
    <row r="28">
      <c r="A28" t="n">
        <v>25</v>
      </c>
      <c r="B28" t="inlineStr">
        <is>
          <t>Olympia (C)</t>
        </is>
      </c>
      <c r="C28" t="inlineStr">
        <is>
          <t>Match</t>
        </is>
      </c>
      <c r="D28" t="n">
        <v>10</v>
      </c>
      <c r="E28" t="inlineStr"/>
    </row>
    <row r="29">
      <c r="A29" t="n">
        <v>26</v>
      </c>
      <c r="B29" t="inlineStr">
        <is>
          <t>Olympia (R)</t>
        </is>
      </c>
      <c r="C29" t="inlineStr">
        <is>
          <t>Match</t>
        </is>
      </c>
      <c r="D29" t="n">
        <v>20</v>
      </c>
      <c r="E29" t="inlineStr"/>
    </row>
    <row r="30">
      <c r="A30" t="n">
        <v>27</v>
      </c>
      <c r="B30" t="inlineStr">
        <is>
          <t>Olympia (S)</t>
        </is>
      </c>
      <c r="C30" t="inlineStr">
        <is>
          <t>Match</t>
        </is>
      </c>
      <c r="D30" t="n">
        <v>20</v>
      </c>
      <c r="E30" t="inlineStr"/>
    </row>
    <row r="31">
      <c r="A31" t="n">
        <v>28</v>
      </c>
      <c r="B31" t="inlineStr">
        <is>
          <t>Party (L)</t>
        </is>
      </c>
      <c r="C31" t="inlineStr">
        <is>
          <t>Match</t>
        </is>
      </c>
      <c r="D31" t="n">
        <v>10</v>
      </c>
      <c r="E31" t="inlineStr"/>
    </row>
    <row r="32">
      <c r="A32" t="n">
        <v>29</v>
      </c>
      <c r="B32" t="inlineStr">
        <is>
          <t>Party (C)</t>
        </is>
      </c>
      <c r="C32" t="inlineStr">
        <is>
          <t>Match</t>
        </is>
      </c>
      <c r="D32" t="n">
        <v>10</v>
      </c>
      <c r="E32" t="inlineStr"/>
    </row>
    <row r="33">
      <c r="A33" t="n">
        <v>30</v>
      </c>
      <c r="B33" t="inlineStr">
        <is>
          <t>Party (R)</t>
        </is>
      </c>
      <c r="C33" t="inlineStr">
        <is>
          <t>Match</t>
        </is>
      </c>
      <c r="D33" t="n">
        <v>20</v>
      </c>
      <c r="E33" t="inlineStr"/>
    </row>
    <row r="34">
      <c r="A34" t="n">
        <v>31</v>
      </c>
      <c r="B34" t="inlineStr">
        <is>
          <t>Bird (L)</t>
        </is>
      </c>
      <c r="C34" t="inlineStr">
        <is>
          <t>Match</t>
        </is>
      </c>
      <c r="D34" t="n">
        <v>10</v>
      </c>
      <c r="E34" t="inlineStr"/>
    </row>
    <row r="35">
      <c r="A35" t="n">
        <v>32</v>
      </c>
      <c r="B35" t="inlineStr">
        <is>
          <t>Bird (C)</t>
        </is>
      </c>
      <c r="C35" t="inlineStr">
        <is>
          <t>Match</t>
        </is>
      </c>
      <c r="D35" t="n">
        <v>10</v>
      </c>
      <c r="E35" t="inlineStr"/>
    </row>
    <row r="36">
      <c r="A36" t="n">
        <v>33</v>
      </c>
      <c r="B36" t="inlineStr">
        <is>
          <t>Tanga (L)</t>
        </is>
      </c>
      <c r="C36" t="inlineStr">
        <is>
          <t>Match</t>
        </is>
      </c>
      <c r="D36" t="n">
        <v>10</v>
      </c>
      <c r="E36" t="inlineStr"/>
    </row>
    <row r="37">
      <c r="A37" t="n">
        <v>34</v>
      </c>
      <c r="B37" t="inlineStr">
        <is>
          <t>Tanga (C)</t>
        </is>
      </c>
      <c r="C37" t="inlineStr">
        <is>
          <t>Match</t>
        </is>
      </c>
      <c r="D37" t="n">
        <v>10</v>
      </c>
      <c r="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2" customWidth="1" min="4" max="4"/>
    <col width="16" customWidth="1" min="5" max="5"/>
    <col width="14" customWidth="1" min="6" max="6"/>
  </cols>
  <sheetData>
    <row r="1">
      <c r="A1" s="1" t="inlineStr">
        <is>
          <t>PRIMARY SALES ENTRY (Multiple entries allowed)</t>
        </is>
      </c>
    </row>
    <row r="2">
      <c r="A2" s="4" t="inlineStr">
        <is>
          <t>Enter multiple primary sales transactions - Date, SKU, Cartons</t>
        </is>
      </c>
    </row>
    <row r="4">
      <c r="A4" s="5" t="inlineStr">
        <is>
          <t>Date</t>
        </is>
      </c>
      <c r="B4" s="5" t="inlineStr">
        <is>
          <t>SKU #</t>
        </is>
      </c>
      <c r="C4" s="5" t="inlineStr">
        <is>
          <t>SKU Name</t>
        </is>
      </c>
      <c r="D4" s="5" t="inlineStr">
        <is>
          <t>Units/Ctn</t>
        </is>
      </c>
      <c r="E4" s="5" t="inlineStr">
        <is>
          <t>Primary Sales (Ctns)</t>
        </is>
      </c>
      <c r="F4" s="5" t="inlineStr">
        <is>
          <t>Amount (Rs)</t>
        </is>
      </c>
    </row>
    <row r="5">
      <c r="F5" s="3">
        <f>E5*VLOOKUP(B5,Setup!A:E,5,FALSE)</f>
        <v/>
      </c>
    </row>
    <row r="6">
      <c r="F6" s="3">
        <f>E6*VLOOKUP(B6,Setup!A:E,5,FALSE)</f>
        <v/>
      </c>
    </row>
    <row r="7">
      <c r="F7" s="3">
        <f>E7*VLOOKUP(B7,Setup!A:E,5,FALSE)</f>
        <v/>
      </c>
    </row>
    <row r="8">
      <c r="F8" s="3">
        <f>E8*VLOOKUP(B8,Setup!A:E,5,FALSE)</f>
        <v/>
      </c>
    </row>
    <row r="9">
      <c r="F9" s="3">
        <f>E9*VLOOKUP(B9,Setup!A:E,5,FALSE)</f>
        <v/>
      </c>
    </row>
    <row r="10">
      <c r="F10" s="3">
        <f>E10*VLOOKUP(B10,Setup!A:E,5,FALSE)</f>
        <v/>
      </c>
    </row>
    <row r="11">
      <c r="F11" s="3">
        <f>E11*VLOOKUP(B11,Setup!A:E,5,FALSE)</f>
        <v/>
      </c>
    </row>
    <row r="12">
      <c r="F12" s="3">
        <f>E12*VLOOKUP(B12,Setup!A:E,5,FALSE)</f>
        <v/>
      </c>
    </row>
    <row r="13">
      <c r="F13" s="3">
        <f>E13*VLOOKUP(B13,Setup!A:E,5,FALSE)</f>
        <v/>
      </c>
    </row>
    <row r="14">
      <c r="F14" s="3">
        <f>E14*VLOOKUP(B14,Setup!A:E,5,FALSE)</f>
        <v/>
      </c>
    </row>
    <row r="15">
      <c r="F15" s="3">
        <f>E15*VLOOKUP(B15,Setup!A:E,5,FALSE)</f>
        <v/>
      </c>
    </row>
    <row r="16">
      <c r="F16" s="3">
        <f>E16*VLOOKUP(B16,Setup!A:E,5,FALSE)</f>
        <v/>
      </c>
    </row>
    <row r="17">
      <c r="F17" s="3">
        <f>E17*VLOOKUP(B17,Setup!A:E,5,FALSE)</f>
        <v/>
      </c>
    </row>
    <row r="18">
      <c r="F18" s="3">
        <f>E18*VLOOKUP(B18,Setup!A:E,5,FALSE)</f>
        <v/>
      </c>
    </row>
    <row r="19">
      <c r="F19" s="3">
        <f>E19*VLOOKUP(B19,Setup!A:E,5,FALSE)</f>
        <v/>
      </c>
    </row>
    <row r="20">
      <c r="F20" s="3">
        <f>E20*VLOOKUP(B20,Setup!A:E,5,FALSE)</f>
        <v/>
      </c>
    </row>
    <row r="21">
      <c r="F21" s="3">
        <f>E21*VLOOKUP(B21,Setup!A:E,5,FALSE)</f>
        <v/>
      </c>
    </row>
    <row r="22">
      <c r="F22" s="3">
        <f>E22*VLOOKUP(B22,Setup!A:E,5,FALSE)</f>
        <v/>
      </c>
    </row>
    <row r="23">
      <c r="F23" s="3">
        <f>E23*VLOOKUP(B23,Setup!A:E,5,FALSE)</f>
        <v/>
      </c>
    </row>
    <row r="24">
      <c r="F24" s="3">
        <f>E24*VLOOKUP(B24,Setup!A:E,5,FALSE)</f>
        <v/>
      </c>
    </row>
    <row r="25">
      <c r="F25" s="3">
        <f>E25*VLOOKUP(B25,Setup!A:E,5,FALSE)</f>
        <v/>
      </c>
    </row>
    <row r="26">
      <c r="F26" s="3">
        <f>E26*VLOOKUP(B26,Setup!A:E,5,FALSE)</f>
        <v/>
      </c>
    </row>
    <row r="27">
      <c r="F27" s="3">
        <f>E27*VLOOKUP(B27,Setup!A:E,5,FALSE)</f>
        <v/>
      </c>
    </row>
    <row r="28">
      <c r="F28" s="3">
        <f>E28*VLOOKUP(B28,Setup!A:E,5,FALSE)</f>
        <v/>
      </c>
    </row>
    <row r="29">
      <c r="F29" s="3">
        <f>E29*VLOOKUP(B29,Setup!A:E,5,FALSE)</f>
        <v/>
      </c>
    </row>
    <row r="30">
      <c r="F30" s="3">
        <f>E30*VLOOKUP(B30,Setup!A:E,5,FALSE)</f>
        <v/>
      </c>
    </row>
    <row r="31">
      <c r="F31" s="3">
        <f>E31*VLOOKUP(B31,Setup!A:E,5,FALSE)</f>
        <v/>
      </c>
    </row>
    <row r="32">
      <c r="F32" s="3">
        <f>E32*VLOOKUP(B32,Setup!A:E,5,FALSE)</f>
        <v/>
      </c>
    </row>
    <row r="33">
      <c r="F33" s="3">
        <f>E33*VLOOKUP(B33,Setup!A:E,5,FALSE)</f>
        <v/>
      </c>
    </row>
    <row r="34">
      <c r="F34" s="3">
        <f>E34*VLOOKUP(B34,Setup!A:E,5,FALSE)</f>
        <v/>
      </c>
    </row>
    <row r="35">
      <c r="F35" s="3">
        <f>E35*VLOOKUP(B35,Setup!A:E,5,FALSE)</f>
        <v/>
      </c>
    </row>
    <row r="36">
      <c r="F36" s="3">
        <f>E36*VLOOKUP(B36,Setup!A:E,5,FALSE)</f>
        <v/>
      </c>
    </row>
    <row r="37">
      <c r="F37" s="3">
        <f>E37*VLOOKUP(B37,Setup!A:E,5,FALSE)</f>
        <v/>
      </c>
    </row>
    <row r="38">
      <c r="F38" s="3">
        <f>E38*VLOOKUP(B38,Setup!A:E,5,FALSE)</f>
        <v/>
      </c>
    </row>
    <row r="39">
      <c r="F39" s="3">
        <f>E39*VLOOKUP(B39,Setup!A:E,5,FALSE)</f>
        <v/>
      </c>
    </row>
    <row r="40">
      <c r="F40" s="3">
        <f>E40*VLOOKUP(B40,Setup!A:E,5,FALSE)</f>
        <v/>
      </c>
    </row>
    <row r="41">
      <c r="F41" s="3">
        <f>E41*VLOOKUP(B41,Setup!A:E,5,FALSE)</f>
        <v/>
      </c>
    </row>
    <row r="42">
      <c r="F42" s="3">
        <f>E42*VLOOKUP(B42,Setup!A:E,5,FALSE)</f>
        <v/>
      </c>
    </row>
    <row r="43">
      <c r="F43" s="3">
        <f>E43*VLOOKUP(B43,Setup!A:E,5,FALSE)</f>
        <v/>
      </c>
    </row>
    <row r="44">
      <c r="F44" s="3">
        <f>E44*VLOOKUP(B44,Setup!A:E,5,FALSE)</f>
        <v/>
      </c>
    </row>
    <row r="45">
      <c r="F45" s="3">
        <f>E45*VLOOKUP(B45,Setup!A:E,5,FALSE)</f>
        <v/>
      </c>
    </row>
    <row r="46">
      <c r="F46" s="3">
        <f>E46*VLOOKUP(B46,Setup!A:E,5,FALSE)</f>
        <v/>
      </c>
    </row>
    <row r="47">
      <c r="F47" s="3">
        <f>E47*VLOOKUP(B47,Setup!A:E,5,FALSE)</f>
        <v/>
      </c>
    </row>
    <row r="48">
      <c r="F48" s="3">
        <f>E48*VLOOKUP(B48,Setup!A:E,5,FALSE)</f>
        <v/>
      </c>
    </row>
    <row r="49">
      <c r="F49" s="3">
        <f>E49*VLOOKUP(B49,Setup!A:E,5,FALSE)</f>
        <v/>
      </c>
    </row>
    <row r="50">
      <c r="F50" s="3">
        <f>E50*VLOOKUP(B50,Setup!A:E,5,FALSE)</f>
        <v/>
      </c>
    </row>
    <row r="51">
      <c r="F51" s="3">
        <f>E51*VLOOKUP(B51,Setup!A:E,5,FALSE)</f>
        <v/>
      </c>
    </row>
    <row r="52">
      <c r="F52" s="3">
        <f>E52*VLOOKUP(B52,Setup!A:E,5,FALSE)</f>
        <v/>
      </c>
    </row>
    <row r="53">
      <c r="F53" s="3">
        <f>E53*VLOOKUP(B53,Setup!A:E,5,FALSE)</f>
        <v/>
      </c>
    </row>
    <row r="54">
      <c r="F54" s="3">
        <f>E54*VLOOKUP(B54,Setup!A:E,5,FALSE)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1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2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3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4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5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6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7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8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9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10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11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12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13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14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15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16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17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18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19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20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21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22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23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24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25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26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27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28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29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30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DAILY SALES &amp; EXPENSES - DAY 31</t>
        </is>
      </c>
    </row>
    <row r="3">
      <c r="A3" s="7" t="inlineStr">
        <is>
          <t>DAILY SALES ENTRY (Packs)</t>
        </is>
      </c>
    </row>
    <row r="5">
      <c r="A5" s="8" t="inlineStr">
        <is>
          <t>SKU #</t>
        </is>
      </c>
      <c r="B5" s="8" t="inlineStr">
        <is>
          <t>SKU Name</t>
        </is>
      </c>
      <c r="C5" s="8" t="inlineStr">
        <is>
          <t>Packs Sold</t>
        </is>
      </c>
      <c r="D5" s="8" t="inlineStr">
        <is>
          <t>Units/Ctn</t>
        </is>
      </c>
      <c r="E5" s="8" t="inlineStr">
        <is>
          <t>Ctns</t>
        </is>
      </c>
      <c r="F5" s="8" t="inlineStr">
        <is>
          <t>Packs</t>
        </is>
      </c>
      <c r="G5" s="8" t="inlineStr">
        <is>
          <t>Rs/Pack</t>
        </is>
      </c>
      <c r="H5" s="8" t="inlineStr">
        <is>
          <t>Total Rs</t>
        </is>
      </c>
    </row>
    <row r="6">
      <c r="A6" t="n">
        <v>1</v>
      </c>
      <c r="B6" t="inlineStr">
        <is>
          <t>Kite Rs 10</t>
        </is>
      </c>
      <c r="D6" t="n">
        <v>144</v>
      </c>
      <c r="E6" s="9">
        <f>INT(C6/D6)</f>
        <v/>
      </c>
      <c r="F6" s="9">
        <f>C6-(E6*D6)</f>
        <v/>
      </c>
      <c r="H6" s="3">
        <f>C6*G6</f>
        <v/>
      </c>
    </row>
    <row r="7">
      <c r="A7" t="n">
        <v>2</v>
      </c>
      <c r="B7" t="inlineStr">
        <is>
          <t>Kite Rs 20</t>
        </is>
      </c>
      <c r="D7" t="n">
        <v>96</v>
      </c>
      <c r="E7" s="9">
        <f>INT(C7/D7)</f>
        <v/>
      </c>
      <c r="F7" s="9">
        <f>C7-(E7*D7)</f>
        <v/>
      </c>
      <c r="H7" s="3">
        <f>C7*G7</f>
        <v/>
      </c>
    </row>
    <row r="8">
      <c r="A8" t="n">
        <v>3</v>
      </c>
      <c r="B8" t="inlineStr">
        <is>
          <t>Kite Rs 50</t>
        </is>
      </c>
      <c r="D8" t="n">
        <v>48</v>
      </c>
      <c r="E8" s="9">
        <f>INT(C8/D8)</f>
        <v/>
      </c>
      <c r="F8" s="9">
        <f>C8-(E8*D8)</f>
        <v/>
      </c>
      <c r="H8" s="3">
        <f>C8*G8</f>
        <v/>
      </c>
    </row>
    <row r="9">
      <c r="A9" t="n">
        <v>4</v>
      </c>
      <c r="B9" t="inlineStr">
        <is>
          <t>Kite Rs 99</t>
        </is>
      </c>
      <c r="D9" t="n">
        <v>24</v>
      </c>
      <c r="E9" s="9">
        <f>INT(C9/D9)</f>
        <v/>
      </c>
      <c r="F9" s="9">
        <f>C9-(E9*D9)</f>
        <v/>
      </c>
      <c r="H9" s="3">
        <f>C9*G9</f>
        <v/>
      </c>
    </row>
    <row r="10">
      <c r="A10" t="n">
        <v>5</v>
      </c>
      <c r="B10" t="inlineStr">
        <is>
          <t>Kite 0.5kg</t>
        </is>
      </c>
      <c r="D10" t="n">
        <v>24</v>
      </c>
      <c r="E10" s="9">
        <f>INT(C10/D10)</f>
        <v/>
      </c>
      <c r="F10" s="9">
        <f>C10-(E10*D10)</f>
        <v/>
      </c>
      <c r="H10" s="3">
        <f>C10*G10</f>
        <v/>
      </c>
    </row>
    <row r="11">
      <c r="A11" t="n">
        <v>6</v>
      </c>
      <c r="B11" t="inlineStr">
        <is>
          <t>Kite 1kg</t>
        </is>
      </c>
      <c r="D11" t="n">
        <v>12</v>
      </c>
      <c r="E11" s="9">
        <f>INT(C11/D11)</f>
        <v/>
      </c>
      <c r="F11" s="9">
        <f>C11-(E11*D11)</f>
        <v/>
      </c>
      <c r="H11" s="3">
        <f>C11*G11</f>
        <v/>
      </c>
    </row>
    <row r="12">
      <c r="A12" t="n">
        <v>7</v>
      </c>
      <c r="B12" t="inlineStr">
        <is>
          <t>Kite 2kg</t>
        </is>
      </c>
      <c r="D12" t="n">
        <v>6</v>
      </c>
      <c r="E12" s="9">
        <f>INT(C12/D12)</f>
        <v/>
      </c>
      <c r="F12" s="9">
        <f>C12-(E12*D12)</f>
        <v/>
      </c>
      <c r="H12" s="3">
        <f>C12*G12</f>
        <v/>
      </c>
    </row>
    <row r="13">
      <c r="A13" t="n">
        <v>8</v>
      </c>
      <c r="B13" t="inlineStr">
        <is>
          <t>Burq Rs 10</t>
        </is>
      </c>
      <c r="D13" t="n">
        <v>204</v>
      </c>
      <c r="E13" s="9">
        <f>INT(C13/D13)</f>
        <v/>
      </c>
      <c r="F13" s="9">
        <f>C13-(E13*D13)</f>
        <v/>
      </c>
      <c r="H13" s="3">
        <f>C13*G13</f>
        <v/>
      </c>
    </row>
    <row r="14">
      <c r="A14" t="n">
        <v>9</v>
      </c>
      <c r="B14" t="inlineStr">
        <is>
          <t>Burq Rs 20</t>
        </is>
      </c>
      <c r="D14" t="n">
        <v>96</v>
      </c>
      <c r="E14" s="9">
        <f>INT(C14/D14)</f>
        <v/>
      </c>
      <c r="F14" s="9">
        <f>C14-(E14*D14)</f>
        <v/>
      </c>
      <c r="H14" s="3">
        <f>C14*G14</f>
        <v/>
      </c>
    </row>
    <row r="15">
      <c r="A15" t="n">
        <v>10</v>
      </c>
      <c r="B15" t="inlineStr">
        <is>
          <t>Burq Rs 50</t>
        </is>
      </c>
      <c r="D15" t="n">
        <v>48</v>
      </c>
      <c r="E15" s="9">
        <f>INT(C15/D15)</f>
        <v/>
      </c>
      <c r="F15" s="9">
        <f>C15-(E15*D15)</f>
        <v/>
      </c>
      <c r="H15" s="3">
        <f>C15*G15</f>
        <v/>
      </c>
    </row>
    <row r="16">
      <c r="A16" t="n">
        <v>11</v>
      </c>
      <c r="B16" t="inlineStr">
        <is>
          <t>Burq Rs 99</t>
        </is>
      </c>
      <c r="D16" t="n">
        <v>24</v>
      </c>
      <c r="E16" s="9">
        <f>INT(C16/D16)</f>
        <v/>
      </c>
      <c r="F16" s="9">
        <f>C16-(E16*D16)</f>
        <v/>
      </c>
      <c r="H16" s="3">
        <f>C16*G16</f>
        <v/>
      </c>
    </row>
    <row r="17">
      <c r="A17" t="n">
        <v>12</v>
      </c>
      <c r="B17" t="inlineStr">
        <is>
          <t>Burq 1kg</t>
        </is>
      </c>
      <c r="D17" t="n">
        <v>12</v>
      </c>
      <c r="E17" s="9">
        <f>INT(C17/D17)</f>
        <v/>
      </c>
      <c r="F17" s="9">
        <f>C17-(E17*D17)</f>
        <v/>
      </c>
      <c r="H17" s="3">
        <f>C17*G17</f>
        <v/>
      </c>
    </row>
    <row r="18">
      <c r="A18" t="n">
        <v>13</v>
      </c>
      <c r="B18" t="inlineStr">
        <is>
          <t>Burq 2.3kg</t>
        </is>
      </c>
      <c r="D18" t="n">
        <v>6</v>
      </c>
      <c r="E18" s="9">
        <f>INT(C18/D18)</f>
        <v/>
      </c>
      <c r="F18" s="9">
        <f>C18-(E18*D18)</f>
        <v/>
      </c>
      <c r="H18" s="3">
        <f>C18*G18</f>
        <v/>
      </c>
    </row>
    <row r="19">
      <c r="A19" t="n">
        <v>14</v>
      </c>
      <c r="B19" t="inlineStr">
        <is>
          <t>Vero 5kg</t>
        </is>
      </c>
      <c r="D19" t="n">
        <v>4</v>
      </c>
      <c r="E19" s="9">
        <f>INT(C19/D19)</f>
        <v/>
      </c>
      <c r="F19" s="9">
        <f>C19-(E19*D19)</f>
        <v/>
      </c>
      <c r="H19" s="3">
        <f>C19*G19</f>
        <v/>
      </c>
    </row>
    <row r="20">
      <c r="A20" t="n">
        <v>15</v>
      </c>
      <c r="B20" t="inlineStr">
        <is>
          <t>Vero 20kg</t>
        </is>
      </c>
      <c r="D20" t="n">
        <v>1</v>
      </c>
      <c r="E20" s="9">
        <f>INT(C20/D20)</f>
        <v/>
      </c>
      <c r="F20" s="9">
        <f>C20-(E20*D20)</f>
        <v/>
      </c>
      <c r="H20" s="3">
        <f>C20*G20</f>
        <v/>
      </c>
    </row>
    <row r="21">
      <c r="A21" t="n">
        <v>16</v>
      </c>
      <c r="B21" t="inlineStr">
        <is>
          <t>Regular</t>
        </is>
      </c>
      <c r="D21" t="n">
        <v>48</v>
      </c>
      <c r="E21" s="9">
        <f>INT(C21/D21)</f>
        <v/>
      </c>
      <c r="F21" s="9">
        <f>C21-(E21*D21)</f>
        <v/>
      </c>
      <c r="H21" s="3">
        <f>C21*G21</f>
        <v/>
      </c>
    </row>
    <row r="22">
      <c r="A22" t="n">
        <v>17</v>
      </c>
      <c r="B22" t="inlineStr">
        <is>
          <t>Large</t>
        </is>
      </c>
      <c r="D22" t="n">
        <v>36</v>
      </c>
      <c r="E22" s="9">
        <f>INT(C22/D22)</f>
        <v/>
      </c>
      <c r="F22" s="9">
        <f>C22-(E22*D22)</f>
        <v/>
      </c>
      <c r="H22" s="3">
        <f>C22*G22</f>
        <v/>
      </c>
    </row>
    <row r="23">
      <c r="A23" t="n">
        <v>18</v>
      </c>
      <c r="B23" t="inlineStr">
        <is>
          <t>Long Bar</t>
        </is>
      </c>
      <c r="D23" t="n">
        <v>36</v>
      </c>
      <c r="E23" s="9">
        <f>INT(C23/D23)</f>
        <v/>
      </c>
      <c r="F23" s="9">
        <f>C23-(E23*D23)</f>
        <v/>
      </c>
      <c r="H23" s="3">
        <f>C23*G23</f>
        <v/>
      </c>
    </row>
    <row r="24">
      <c r="A24" t="n">
        <v>19</v>
      </c>
      <c r="B24" t="inlineStr">
        <is>
          <t>Super Bar</t>
        </is>
      </c>
      <c r="D24" t="n">
        <v>36</v>
      </c>
      <c r="E24" s="9">
        <f>INT(C24/D24)</f>
        <v/>
      </c>
      <c r="F24" s="9">
        <f>C24-(E24*D24)</f>
        <v/>
      </c>
      <c r="H24" s="3">
        <f>C24*G24</f>
        <v/>
      </c>
    </row>
    <row r="25">
      <c r="A25" t="n">
        <v>20</v>
      </c>
      <c r="B25" t="inlineStr">
        <is>
          <t>Kite (L)</t>
        </is>
      </c>
      <c r="D25" t="n">
        <v>10</v>
      </c>
      <c r="E25" s="9">
        <f>INT(C25/D25)</f>
        <v/>
      </c>
      <c r="F25" s="9">
        <f>C25-(E25*D25)</f>
        <v/>
      </c>
      <c r="H25" s="3">
        <f>C25*G25</f>
        <v/>
      </c>
    </row>
    <row r="26">
      <c r="A26" t="n">
        <v>21</v>
      </c>
      <c r="B26" t="inlineStr">
        <is>
          <t>Kite (C)</t>
        </is>
      </c>
      <c r="D26" t="n">
        <v>10</v>
      </c>
      <c r="E26" s="9">
        <f>INT(C26/D26)</f>
        <v/>
      </c>
      <c r="F26" s="9">
        <f>C26-(E26*D26)</f>
        <v/>
      </c>
      <c r="H26" s="3">
        <f>C26*G26</f>
        <v/>
      </c>
    </row>
    <row r="27">
      <c r="A27" t="n">
        <v>22</v>
      </c>
      <c r="B27" t="inlineStr">
        <is>
          <t>Kite (R)</t>
        </is>
      </c>
      <c r="D27" t="n">
        <v>20</v>
      </c>
      <c r="E27" s="9">
        <f>INT(C27/D27)</f>
        <v/>
      </c>
      <c r="F27" s="9">
        <f>C27-(E27*D27)</f>
        <v/>
      </c>
      <c r="H27" s="3">
        <f>C27*G27</f>
        <v/>
      </c>
    </row>
    <row r="28">
      <c r="A28" t="n">
        <v>23</v>
      </c>
      <c r="B28" t="inlineStr">
        <is>
          <t>Kite (S)</t>
        </is>
      </c>
      <c r="D28" t="n">
        <v>20</v>
      </c>
      <c r="E28" s="9">
        <f>INT(C28/D28)</f>
        <v/>
      </c>
      <c r="F28" s="9">
        <f>C28-(E28*D28)</f>
        <v/>
      </c>
      <c r="H28" s="3">
        <f>C28*G28</f>
        <v/>
      </c>
    </row>
    <row r="29">
      <c r="A29" t="n">
        <v>24</v>
      </c>
      <c r="B29" t="inlineStr">
        <is>
          <t>Olympia (L)</t>
        </is>
      </c>
      <c r="D29" t="n">
        <v>10</v>
      </c>
      <c r="E29" s="9">
        <f>INT(C29/D29)</f>
        <v/>
      </c>
      <c r="F29" s="9">
        <f>C29-(E29*D29)</f>
        <v/>
      </c>
      <c r="H29" s="3">
        <f>C29*G29</f>
        <v/>
      </c>
    </row>
    <row r="30">
      <c r="A30" t="n">
        <v>25</v>
      </c>
      <c r="B30" t="inlineStr">
        <is>
          <t>Olympia (C)</t>
        </is>
      </c>
      <c r="D30" t="n">
        <v>10</v>
      </c>
      <c r="E30" s="9">
        <f>INT(C30/D30)</f>
        <v/>
      </c>
      <c r="F30" s="9">
        <f>C30-(E30*D30)</f>
        <v/>
      </c>
      <c r="H30" s="3">
        <f>C30*G30</f>
        <v/>
      </c>
    </row>
    <row r="31">
      <c r="A31" t="n">
        <v>26</v>
      </c>
      <c r="B31" t="inlineStr">
        <is>
          <t>Olympia (R)</t>
        </is>
      </c>
      <c r="D31" t="n">
        <v>20</v>
      </c>
      <c r="E31" s="9">
        <f>INT(C31/D31)</f>
        <v/>
      </c>
      <c r="F31" s="9">
        <f>C31-(E31*D31)</f>
        <v/>
      </c>
      <c r="H31" s="3">
        <f>C31*G31</f>
        <v/>
      </c>
    </row>
    <row r="32">
      <c r="A32" t="n">
        <v>27</v>
      </c>
      <c r="B32" t="inlineStr">
        <is>
          <t>Olympia (S)</t>
        </is>
      </c>
      <c r="D32" t="n">
        <v>20</v>
      </c>
      <c r="E32" s="9">
        <f>INT(C32/D32)</f>
        <v/>
      </c>
      <c r="F32" s="9">
        <f>C32-(E32*D32)</f>
        <v/>
      </c>
      <c r="H32" s="3">
        <f>C32*G32</f>
        <v/>
      </c>
    </row>
    <row r="33">
      <c r="A33" t="n">
        <v>28</v>
      </c>
      <c r="B33" t="inlineStr">
        <is>
          <t>Party (L)</t>
        </is>
      </c>
      <c r="D33" t="n">
        <v>10</v>
      </c>
      <c r="E33" s="9">
        <f>INT(C33/D33)</f>
        <v/>
      </c>
      <c r="F33" s="9">
        <f>C33-(E33*D33)</f>
        <v/>
      </c>
      <c r="H33" s="3">
        <f>C33*G33</f>
        <v/>
      </c>
    </row>
    <row r="34">
      <c r="A34" t="n">
        <v>29</v>
      </c>
      <c r="B34" t="inlineStr">
        <is>
          <t>Party (C)</t>
        </is>
      </c>
      <c r="D34" t="n">
        <v>10</v>
      </c>
      <c r="E34" s="9">
        <f>INT(C34/D34)</f>
        <v/>
      </c>
      <c r="F34" s="9">
        <f>C34-(E34*D34)</f>
        <v/>
      </c>
      <c r="H34" s="3">
        <f>C34*G34</f>
        <v/>
      </c>
    </row>
    <row r="35">
      <c r="A35" t="n">
        <v>30</v>
      </c>
      <c r="B35" t="inlineStr">
        <is>
          <t>Party (R)</t>
        </is>
      </c>
      <c r="D35" t="n">
        <v>20</v>
      </c>
      <c r="E35" s="9">
        <f>INT(C35/D35)</f>
        <v/>
      </c>
      <c r="F35" s="9">
        <f>C35-(E35*D35)</f>
        <v/>
      </c>
      <c r="H35" s="3">
        <f>C35*G35</f>
        <v/>
      </c>
    </row>
    <row r="36">
      <c r="A36" t="n">
        <v>31</v>
      </c>
      <c r="B36" t="inlineStr">
        <is>
          <t>Bird (L)</t>
        </is>
      </c>
      <c r="D36" t="n">
        <v>10</v>
      </c>
      <c r="E36" s="9">
        <f>INT(C36/D36)</f>
        <v/>
      </c>
      <c r="F36" s="9">
        <f>C36-(E36*D36)</f>
        <v/>
      </c>
      <c r="H36" s="3">
        <f>C36*G36</f>
        <v/>
      </c>
    </row>
    <row r="37">
      <c r="A37" t="n">
        <v>32</v>
      </c>
      <c r="B37" t="inlineStr">
        <is>
          <t>Bird (C)</t>
        </is>
      </c>
      <c r="D37" t="n">
        <v>10</v>
      </c>
      <c r="E37" s="9">
        <f>INT(C37/D37)</f>
        <v/>
      </c>
      <c r="F37" s="9">
        <f>C37-(E37*D37)</f>
        <v/>
      </c>
      <c r="H37" s="3">
        <f>C37*G37</f>
        <v/>
      </c>
    </row>
    <row r="38">
      <c r="A38" t="n">
        <v>33</v>
      </c>
      <c r="B38" t="inlineStr">
        <is>
          <t>Tanga (L)</t>
        </is>
      </c>
      <c r="D38" t="n">
        <v>10</v>
      </c>
      <c r="E38" s="9">
        <f>INT(C38/D38)</f>
        <v/>
      </c>
      <c r="F38" s="9">
        <f>C38-(E38*D38)</f>
        <v/>
      </c>
      <c r="H38" s="3">
        <f>C38*G38</f>
        <v/>
      </c>
    </row>
    <row r="39">
      <c r="A39" t="n">
        <v>34</v>
      </c>
      <c r="B39" t="inlineStr">
        <is>
          <t>Tanga (C)</t>
        </is>
      </c>
      <c r="D39" t="n">
        <v>10</v>
      </c>
      <c r="E39" s="9">
        <f>INT(C39/D39)</f>
        <v/>
      </c>
      <c r="F39" s="9">
        <f>C39-(E39*D39)</f>
        <v/>
      </c>
      <c r="H39" s="3">
        <f>C39*G39</f>
        <v/>
      </c>
    </row>
    <row r="40">
      <c r="A40" s="10" t="inlineStr">
        <is>
          <t>TOTALS</t>
        </is>
      </c>
      <c r="E40" s="10">
        <f>SUM(E6:E39)</f>
        <v/>
      </c>
      <c r="H40" s="10">
        <f>SUM(H6:H39)</f>
        <v/>
      </c>
    </row>
    <row r="43">
      <c r="A43" s="7" t="inlineStr">
        <is>
          <t>DAILY EXPENSES</t>
        </is>
      </c>
    </row>
    <row r="45">
      <c r="A45" s="11" t="inlineStr">
        <is>
          <t>Category</t>
        </is>
      </c>
      <c r="B45" s="11" t="inlineStr">
        <is>
          <t>Amount (Rs)</t>
        </is>
      </c>
    </row>
    <row r="46">
      <c r="A46" t="inlineStr">
        <is>
          <t>Labor</t>
        </is>
      </c>
      <c r="B46" s="3" t="n">
        <v>0</v>
      </c>
    </row>
    <row r="47">
      <c r="A47" t="inlineStr">
        <is>
          <t>Transport</t>
        </is>
      </c>
      <c r="B47" s="3" t="n">
        <v>0</v>
      </c>
    </row>
    <row r="48">
      <c r="A48" t="inlineStr">
        <is>
          <t>Utilities</t>
        </is>
      </c>
      <c r="B48" s="3" t="n">
        <v>0</v>
      </c>
    </row>
    <row r="49">
      <c r="A49" t="inlineStr">
        <is>
          <t>Packaging</t>
        </is>
      </c>
      <c r="B49" s="3" t="n">
        <v>0</v>
      </c>
    </row>
    <row r="50">
      <c r="A50" t="inlineStr">
        <is>
          <t>Other</t>
        </is>
      </c>
      <c r="B50" s="3" t="n">
        <v>0</v>
      </c>
    </row>
    <row r="51">
      <c r="A51" s="10" t="inlineStr">
        <is>
          <t>Total Expenses</t>
        </is>
      </c>
      <c r="B51" s="10">
        <f>SUM(B46:B50)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4" customWidth="1" min="4" max="4"/>
    <col width="12" customWidth="1" min="5" max="5"/>
    <col width="16" customWidth="1" min="6" max="6"/>
    <col width="16" customWidth="1" min="7" max="7"/>
  </cols>
  <sheetData>
    <row r="1">
      <c r="A1" s="1" t="inlineStr">
        <is>
          <t>SECONDARY SALES SUMMARY (Auto-calculated from Daily)</t>
        </is>
      </c>
    </row>
    <row r="2">
      <c r="A2" s="4" t="inlineStr">
        <is>
          <t>Automatically sums all daily sales from Day 1-31</t>
        </is>
      </c>
    </row>
    <row r="4">
      <c r="A4" s="8" t="inlineStr">
        <is>
          <t>SKU #</t>
        </is>
      </c>
      <c r="B4" s="8" t="inlineStr">
        <is>
          <t>SKU Name</t>
        </is>
      </c>
      <c r="C4" s="8" t="inlineStr">
        <is>
          <t>Units/Ctn</t>
        </is>
      </c>
      <c r="D4" s="8" t="inlineStr">
        <is>
          <t>Total Packs</t>
        </is>
      </c>
      <c r="E4" s="8" t="inlineStr">
        <is>
          <t>Total Ctns</t>
        </is>
      </c>
      <c r="F4" s="8" t="inlineStr">
        <is>
          <t>Remaining Packs</t>
        </is>
      </c>
      <c r="G4" s="8" t="inlineStr">
        <is>
          <t>Total Ctns.Packs</t>
        </is>
      </c>
    </row>
    <row r="5">
      <c r="A5" t="n">
        <v>1</v>
      </c>
      <c r="B5" t="inlineStr">
        <is>
          <t>Kite Rs 10</t>
        </is>
      </c>
      <c r="C5" t="n">
        <v>144</v>
      </c>
      <c r="D5" s="9">
        <f>'Day 01'!C6+'Day 02'!C6+'Day 03'!C6+'Day 04'!C6+'Day 05'!C6+'Day 06'!C6+'Day 07'!C6+'Day 08'!C6+'Day 09'!C6+'Day 10'!C6+'Day 11'!C6+'Day 12'!C6+'Day 13'!C6+'Day 14'!C6+'Day 15'!C6+'Day 16'!C6+'Day 17'!C6+'Day 18'!C6+'Day 19'!C6+'Day 20'!C6+'Day 21'!C6+'Day 22'!C6+'Day 23'!C6+'Day 24'!C6+'Day 25'!C6+'Day 26'!C6+'Day 27'!C6+'Day 28'!C6+'Day 29'!C6+'Day 30'!C6+'Day 31'!C6</f>
        <v/>
      </c>
      <c r="E5" s="9">
        <f>INT(D5/C5)</f>
        <v/>
      </c>
      <c r="F5" s="9">
        <f>D5-(E5*C5)</f>
        <v/>
      </c>
      <c r="G5" s="3">
        <f>E5+F5/C5</f>
        <v/>
      </c>
    </row>
    <row r="6">
      <c r="A6" t="n">
        <v>2</v>
      </c>
      <c r="B6" t="inlineStr">
        <is>
          <t>Kite Rs 20</t>
        </is>
      </c>
      <c r="C6" t="n">
        <v>96</v>
      </c>
      <c r="D6" s="9">
        <f>'Day 01'!C7+'Day 02'!C7+'Day 03'!C7+'Day 04'!C7+'Day 05'!C7+'Day 06'!C7+'Day 07'!C7+'Day 08'!C7+'Day 09'!C7+'Day 10'!C7+'Day 11'!C7+'Day 12'!C7+'Day 13'!C7+'Day 14'!C7+'Day 15'!C7+'Day 16'!C7+'Day 17'!C7+'Day 18'!C7+'Day 19'!C7+'Day 20'!C7+'Day 21'!C7+'Day 22'!C7+'Day 23'!C7+'Day 24'!C7+'Day 25'!C7+'Day 26'!C7+'Day 27'!C7+'Day 28'!C7+'Day 29'!C7+'Day 30'!C7+'Day 31'!C7</f>
        <v/>
      </c>
      <c r="E6" s="9">
        <f>INT(D6/C6)</f>
        <v/>
      </c>
      <c r="F6" s="9">
        <f>D6-(E6*C6)</f>
        <v/>
      </c>
      <c r="G6" s="3">
        <f>E6+F6/C6</f>
        <v/>
      </c>
    </row>
    <row r="7">
      <c r="A7" t="n">
        <v>3</v>
      </c>
      <c r="B7" t="inlineStr">
        <is>
          <t>Kite Rs 50</t>
        </is>
      </c>
      <c r="C7" t="n">
        <v>48</v>
      </c>
      <c r="D7" s="9">
        <f>'Day 01'!C8+'Day 02'!C8+'Day 03'!C8+'Day 04'!C8+'Day 05'!C8+'Day 06'!C8+'Day 07'!C8+'Day 08'!C8+'Day 09'!C8+'Day 10'!C8+'Day 11'!C8+'Day 12'!C8+'Day 13'!C8+'Day 14'!C8+'Day 15'!C8+'Day 16'!C8+'Day 17'!C8+'Day 18'!C8+'Day 19'!C8+'Day 20'!C8+'Day 21'!C8+'Day 22'!C8+'Day 23'!C8+'Day 24'!C8+'Day 25'!C8+'Day 26'!C8+'Day 27'!C8+'Day 28'!C8+'Day 29'!C8+'Day 30'!C8+'Day 31'!C8</f>
        <v/>
      </c>
      <c r="E7" s="9">
        <f>INT(D7/C7)</f>
        <v/>
      </c>
      <c r="F7" s="9">
        <f>D7-(E7*C7)</f>
        <v/>
      </c>
      <c r="G7" s="3">
        <f>E7+F7/C7</f>
        <v/>
      </c>
    </row>
    <row r="8">
      <c r="A8" t="n">
        <v>4</v>
      </c>
      <c r="B8" t="inlineStr">
        <is>
          <t>Kite Rs 99</t>
        </is>
      </c>
      <c r="C8" t="n">
        <v>24</v>
      </c>
      <c r="D8" s="9">
        <f>'Day 01'!C9+'Day 02'!C9+'Day 03'!C9+'Day 04'!C9+'Day 05'!C9+'Day 06'!C9+'Day 07'!C9+'Day 08'!C9+'Day 09'!C9+'Day 10'!C9+'Day 11'!C9+'Day 12'!C9+'Day 13'!C9+'Day 14'!C9+'Day 15'!C9+'Day 16'!C9+'Day 17'!C9+'Day 18'!C9+'Day 19'!C9+'Day 20'!C9+'Day 21'!C9+'Day 22'!C9+'Day 23'!C9+'Day 24'!C9+'Day 25'!C9+'Day 26'!C9+'Day 27'!C9+'Day 28'!C9+'Day 29'!C9+'Day 30'!C9+'Day 31'!C9</f>
        <v/>
      </c>
      <c r="E8" s="9">
        <f>INT(D8/C8)</f>
        <v/>
      </c>
      <c r="F8" s="9">
        <f>D8-(E8*C8)</f>
        <v/>
      </c>
      <c r="G8" s="3">
        <f>E8+F8/C8</f>
        <v/>
      </c>
    </row>
    <row r="9">
      <c r="A9" t="n">
        <v>5</v>
      </c>
      <c r="B9" t="inlineStr">
        <is>
          <t>Kite 0.5kg</t>
        </is>
      </c>
      <c r="C9" t="n">
        <v>24</v>
      </c>
      <c r="D9" s="9">
        <f>'Day 01'!C10+'Day 02'!C10+'Day 03'!C10+'Day 04'!C10+'Day 05'!C10+'Day 06'!C10+'Day 07'!C10+'Day 08'!C10+'Day 09'!C10+'Day 10'!C10+'Day 11'!C10+'Day 12'!C10+'Day 13'!C10+'Day 14'!C10+'Day 15'!C10+'Day 16'!C10+'Day 17'!C10+'Day 18'!C10+'Day 19'!C10+'Day 20'!C10+'Day 21'!C10+'Day 22'!C10+'Day 23'!C10+'Day 24'!C10+'Day 25'!C10+'Day 26'!C10+'Day 27'!C10+'Day 28'!C10+'Day 29'!C10+'Day 30'!C10+'Day 31'!C10</f>
        <v/>
      </c>
      <c r="E9" s="9">
        <f>INT(D9/C9)</f>
        <v/>
      </c>
      <c r="F9" s="9">
        <f>D9-(E9*C9)</f>
        <v/>
      </c>
      <c r="G9" s="3">
        <f>E9+F9/C9</f>
        <v/>
      </c>
    </row>
    <row r="10">
      <c r="A10" t="n">
        <v>6</v>
      </c>
      <c r="B10" t="inlineStr">
        <is>
          <t>Kite 1kg</t>
        </is>
      </c>
      <c r="C10" t="n">
        <v>12</v>
      </c>
      <c r="D10" s="9">
        <f>'Day 01'!C11+'Day 02'!C11+'Day 03'!C11+'Day 04'!C11+'Day 05'!C11+'Day 06'!C11+'Day 07'!C11+'Day 08'!C11+'Day 09'!C11+'Day 10'!C11+'Day 11'!C11+'Day 12'!C11+'Day 13'!C11+'Day 14'!C11+'Day 15'!C11+'Day 16'!C11+'Day 17'!C11+'Day 18'!C11+'Day 19'!C11+'Day 20'!C11+'Day 21'!C11+'Day 22'!C11+'Day 23'!C11+'Day 24'!C11+'Day 25'!C11+'Day 26'!C11+'Day 27'!C11+'Day 28'!C11+'Day 29'!C11+'Day 30'!C11+'Day 31'!C11</f>
        <v/>
      </c>
      <c r="E10" s="9">
        <f>INT(D10/C10)</f>
        <v/>
      </c>
      <c r="F10" s="9">
        <f>D10-(E10*C10)</f>
        <v/>
      </c>
      <c r="G10" s="3">
        <f>E10+F10/C10</f>
        <v/>
      </c>
    </row>
    <row r="11">
      <c r="A11" t="n">
        <v>7</v>
      </c>
      <c r="B11" t="inlineStr">
        <is>
          <t>Kite 2kg</t>
        </is>
      </c>
      <c r="C11" t="n">
        <v>6</v>
      </c>
      <c r="D11" s="9">
        <f>'Day 01'!C12+'Day 02'!C12+'Day 03'!C12+'Day 04'!C12+'Day 05'!C12+'Day 06'!C12+'Day 07'!C12+'Day 08'!C12+'Day 09'!C12+'Day 10'!C12+'Day 11'!C12+'Day 12'!C12+'Day 13'!C12+'Day 14'!C12+'Day 15'!C12+'Day 16'!C12+'Day 17'!C12+'Day 18'!C12+'Day 19'!C12+'Day 20'!C12+'Day 21'!C12+'Day 22'!C12+'Day 23'!C12+'Day 24'!C12+'Day 25'!C12+'Day 26'!C12+'Day 27'!C12+'Day 28'!C12+'Day 29'!C12+'Day 30'!C12+'Day 31'!C12</f>
        <v/>
      </c>
      <c r="E11" s="9">
        <f>INT(D11/C11)</f>
        <v/>
      </c>
      <c r="F11" s="9">
        <f>D11-(E11*C11)</f>
        <v/>
      </c>
      <c r="G11" s="3">
        <f>E11+F11/C11</f>
        <v/>
      </c>
    </row>
    <row r="12">
      <c r="A12" t="n">
        <v>8</v>
      </c>
      <c r="B12" t="inlineStr">
        <is>
          <t>Burq Rs 10</t>
        </is>
      </c>
      <c r="C12" t="n">
        <v>204</v>
      </c>
      <c r="D12" s="9">
        <f>'Day 01'!C13+'Day 02'!C13+'Day 03'!C13+'Day 04'!C13+'Day 05'!C13+'Day 06'!C13+'Day 07'!C13+'Day 08'!C13+'Day 09'!C13+'Day 10'!C13+'Day 11'!C13+'Day 12'!C13+'Day 13'!C13+'Day 14'!C13+'Day 15'!C13+'Day 16'!C13+'Day 17'!C13+'Day 18'!C13+'Day 19'!C13+'Day 20'!C13+'Day 21'!C13+'Day 22'!C13+'Day 23'!C13+'Day 24'!C13+'Day 25'!C13+'Day 26'!C13+'Day 27'!C13+'Day 28'!C13+'Day 29'!C13+'Day 30'!C13+'Day 31'!C13</f>
        <v/>
      </c>
      <c r="E12" s="9">
        <f>INT(D12/C12)</f>
        <v/>
      </c>
      <c r="F12" s="9">
        <f>D12-(E12*C12)</f>
        <v/>
      </c>
      <c r="G12" s="3">
        <f>E12+F12/C12</f>
        <v/>
      </c>
    </row>
    <row r="13">
      <c r="A13" t="n">
        <v>9</v>
      </c>
      <c r="B13" t="inlineStr">
        <is>
          <t>Burq Rs 20</t>
        </is>
      </c>
      <c r="C13" t="n">
        <v>96</v>
      </c>
      <c r="D13" s="9">
        <f>'Day 01'!C14+'Day 02'!C14+'Day 03'!C14+'Day 04'!C14+'Day 05'!C14+'Day 06'!C14+'Day 07'!C14+'Day 08'!C14+'Day 09'!C14+'Day 10'!C14+'Day 11'!C14+'Day 12'!C14+'Day 13'!C14+'Day 14'!C14+'Day 15'!C14+'Day 16'!C14+'Day 17'!C14+'Day 18'!C14+'Day 19'!C14+'Day 20'!C14+'Day 21'!C14+'Day 22'!C14+'Day 23'!C14+'Day 24'!C14+'Day 25'!C14+'Day 26'!C14+'Day 27'!C14+'Day 28'!C14+'Day 29'!C14+'Day 30'!C14+'Day 31'!C14</f>
        <v/>
      </c>
      <c r="E13" s="9">
        <f>INT(D13/C13)</f>
        <v/>
      </c>
      <c r="F13" s="9">
        <f>D13-(E13*C13)</f>
        <v/>
      </c>
      <c r="G13" s="3">
        <f>E13+F13/C13</f>
        <v/>
      </c>
    </row>
    <row r="14">
      <c r="A14" t="n">
        <v>10</v>
      </c>
      <c r="B14" t="inlineStr">
        <is>
          <t>Burq Rs 50</t>
        </is>
      </c>
      <c r="C14" t="n">
        <v>48</v>
      </c>
      <c r="D14" s="9">
        <f>'Day 01'!C15+'Day 02'!C15+'Day 03'!C15+'Day 04'!C15+'Day 05'!C15+'Day 06'!C15+'Day 07'!C15+'Day 08'!C15+'Day 09'!C15+'Day 10'!C15+'Day 11'!C15+'Day 12'!C15+'Day 13'!C15+'Day 14'!C15+'Day 15'!C15+'Day 16'!C15+'Day 17'!C15+'Day 18'!C15+'Day 19'!C15+'Day 20'!C15+'Day 21'!C15+'Day 22'!C15+'Day 23'!C15+'Day 24'!C15+'Day 25'!C15+'Day 26'!C15+'Day 27'!C15+'Day 28'!C15+'Day 29'!C15+'Day 30'!C15+'Day 31'!C15</f>
        <v/>
      </c>
      <c r="E14" s="9">
        <f>INT(D14/C14)</f>
        <v/>
      </c>
      <c r="F14" s="9">
        <f>D14-(E14*C14)</f>
        <v/>
      </c>
      <c r="G14" s="3">
        <f>E14+F14/C14</f>
        <v/>
      </c>
    </row>
    <row r="15">
      <c r="A15" t="n">
        <v>11</v>
      </c>
      <c r="B15" t="inlineStr">
        <is>
          <t>Burq Rs 99</t>
        </is>
      </c>
      <c r="C15" t="n">
        <v>24</v>
      </c>
      <c r="D15" s="9">
        <f>'Day 01'!C16+'Day 02'!C16+'Day 03'!C16+'Day 04'!C16+'Day 05'!C16+'Day 06'!C16+'Day 07'!C16+'Day 08'!C16+'Day 09'!C16+'Day 10'!C16+'Day 11'!C16+'Day 12'!C16+'Day 13'!C16+'Day 14'!C16+'Day 15'!C16+'Day 16'!C16+'Day 17'!C16+'Day 18'!C16+'Day 19'!C16+'Day 20'!C16+'Day 21'!C16+'Day 22'!C16+'Day 23'!C16+'Day 24'!C16+'Day 25'!C16+'Day 26'!C16+'Day 27'!C16+'Day 28'!C16+'Day 29'!C16+'Day 30'!C16+'Day 31'!C16</f>
        <v/>
      </c>
      <c r="E15" s="9">
        <f>INT(D15/C15)</f>
        <v/>
      </c>
      <c r="F15" s="9">
        <f>D15-(E15*C15)</f>
        <v/>
      </c>
      <c r="G15" s="3">
        <f>E15+F15/C15</f>
        <v/>
      </c>
    </row>
    <row r="16">
      <c r="A16" t="n">
        <v>12</v>
      </c>
      <c r="B16" t="inlineStr">
        <is>
          <t>Burq 1kg</t>
        </is>
      </c>
      <c r="C16" t="n">
        <v>12</v>
      </c>
      <c r="D16" s="9">
        <f>'Day 01'!C17+'Day 02'!C17+'Day 03'!C17+'Day 04'!C17+'Day 05'!C17+'Day 06'!C17+'Day 07'!C17+'Day 08'!C17+'Day 09'!C17+'Day 10'!C17+'Day 11'!C17+'Day 12'!C17+'Day 13'!C17+'Day 14'!C17+'Day 15'!C17+'Day 16'!C17+'Day 17'!C17+'Day 18'!C17+'Day 19'!C17+'Day 20'!C17+'Day 21'!C17+'Day 22'!C17+'Day 23'!C17+'Day 24'!C17+'Day 25'!C17+'Day 26'!C17+'Day 27'!C17+'Day 28'!C17+'Day 29'!C17+'Day 30'!C17+'Day 31'!C17</f>
        <v/>
      </c>
      <c r="E16" s="9">
        <f>INT(D16/C16)</f>
        <v/>
      </c>
      <c r="F16" s="9">
        <f>D16-(E16*C16)</f>
        <v/>
      </c>
      <c r="G16" s="3">
        <f>E16+F16/C16</f>
        <v/>
      </c>
    </row>
    <row r="17">
      <c r="A17" t="n">
        <v>13</v>
      </c>
      <c r="B17" t="inlineStr">
        <is>
          <t>Burq 2.3kg</t>
        </is>
      </c>
      <c r="C17" t="n">
        <v>6</v>
      </c>
      <c r="D17" s="9">
        <f>'Day 01'!C18+'Day 02'!C18+'Day 03'!C18+'Day 04'!C18+'Day 05'!C18+'Day 06'!C18+'Day 07'!C18+'Day 08'!C18+'Day 09'!C18+'Day 10'!C18+'Day 11'!C18+'Day 12'!C18+'Day 13'!C18+'Day 14'!C18+'Day 15'!C18+'Day 16'!C18+'Day 17'!C18+'Day 18'!C18+'Day 19'!C18+'Day 20'!C18+'Day 21'!C18+'Day 22'!C18+'Day 23'!C18+'Day 24'!C18+'Day 25'!C18+'Day 26'!C18+'Day 27'!C18+'Day 28'!C18+'Day 29'!C18+'Day 30'!C18+'Day 31'!C18</f>
        <v/>
      </c>
      <c r="E17" s="9">
        <f>INT(D17/C17)</f>
        <v/>
      </c>
      <c r="F17" s="9">
        <f>D17-(E17*C17)</f>
        <v/>
      </c>
      <c r="G17" s="3">
        <f>E17+F17/C17</f>
        <v/>
      </c>
    </row>
    <row r="18">
      <c r="A18" t="n">
        <v>14</v>
      </c>
      <c r="B18" t="inlineStr">
        <is>
          <t>Vero 5kg</t>
        </is>
      </c>
      <c r="C18" t="n">
        <v>4</v>
      </c>
      <c r="D18" s="9">
        <f>'Day 01'!C19+'Day 02'!C19+'Day 03'!C19+'Day 04'!C19+'Day 05'!C19+'Day 06'!C19+'Day 07'!C19+'Day 08'!C19+'Day 09'!C19+'Day 10'!C19+'Day 11'!C19+'Day 12'!C19+'Day 13'!C19+'Day 14'!C19+'Day 15'!C19+'Day 16'!C19+'Day 17'!C19+'Day 18'!C19+'Day 19'!C19+'Day 20'!C19+'Day 21'!C19+'Day 22'!C19+'Day 23'!C19+'Day 24'!C19+'Day 25'!C19+'Day 26'!C19+'Day 27'!C19+'Day 28'!C19+'Day 29'!C19+'Day 30'!C19+'Day 31'!C19</f>
        <v/>
      </c>
      <c r="E18" s="9">
        <f>INT(D18/C18)</f>
        <v/>
      </c>
      <c r="F18" s="9">
        <f>D18-(E18*C18)</f>
        <v/>
      </c>
      <c r="G18" s="3">
        <f>E18+F18/C18</f>
        <v/>
      </c>
    </row>
    <row r="19">
      <c r="A19" t="n">
        <v>15</v>
      </c>
      <c r="B19" t="inlineStr">
        <is>
          <t>Vero 20kg</t>
        </is>
      </c>
      <c r="C19" t="n">
        <v>1</v>
      </c>
      <c r="D19" s="9">
        <f>'Day 01'!C20+'Day 02'!C20+'Day 03'!C20+'Day 04'!C20+'Day 05'!C20+'Day 06'!C20+'Day 07'!C20+'Day 08'!C20+'Day 09'!C20+'Day 10'!C20+'Day 11'!C20+'Day 12'!C20+'Day 13'!C20+'Day 14'!C20+'Day 15'!C20+'Day 16'!C20+'Day 17'!C20+'Day 18'!C20+'Day 19'!C20+'Day 20'!C20+'Day 21'!C20+'Day 22'!C20+'Day 23'!C20+'Day 24'!C20+'Day 25'!C20+'Day 26'!C20+'Day 27'!C20+'Day 28'!C20+'Day 29'!C20+'Day 30'!C20+'Day 31'!C20</f>
        <v/>
      </c>
      <c r="E19" s="9">
        <f>INT(D19/C19)</f>
        <v/>
      </c>
      <c r="F19" s="9">
        <f>D19-(E19*C19)</f>
        <v/>
      </c>
      <c r="G19" s="3">
        <f>E19+F19/C19</f>
        <v/>
      </c>
    </row>
    <row r="20">
      <c r="A20" t="n">
        <v>16</v>
      </c>
      <c r="B20" t="inlineStr">
        <is>
          <t>Regular</t>
        </is>
      </c>
      <c r="C20" t="n">
        <v>48</v>
      </c>
      <c r="D20" s="9">
        <f>'Day 01'!C21+'Day 02'!C21+'Day 03'!C21+'Day 04'!C21+'Day 05'!C21+'Day 06'!C21+'Day 07'!C21+'Day 08'!C21+'Day 09'!C21+'Day 10'!C21+'Day 11'!C21+'Day 12'!C21+'Day 13'!C21+'Day 14'!C21+'Day 15'!C21+'Day 16'!C21+'Day 17'!C21+'Day 18'!C21+'Day 19'!C21+'Day 20'!C21+'Day 21'!C21+'Day 22'!C21+'Day 23'!C21+'Day 24'!C21+'Day 25'!C21+'Day 26'!C21+'Day 27'!C21+'Day 28'!C21+'Day 29'!C21+'Day 30'!C21+'Day 31'!C21</f>
        <v/>
      </c>
      <c r="E20" s="9">
        <f>INT(D20/C20)</f>
        <v/>
      </c>
      <c r="F20" s="9">
        <f>D20-(E20*C20)</f>
        <v/>
      </c>
      <c r="G20" s="3">
        <f>E20+F20/C20</f>
        <v/>
      </c>
    </row>
    <row r="21">
      <c r="A21" t="n">
        <v>17</v>
      </c>
      <c r="B21" t="inlineStr">
        <is>
          <t>Large</t>
        </is>
      </c>
      <c r="C21" t="n">
        <v>36</v>
      </c>
      <c r="D21" s="9">
        <f>'Day 01'!C22+'Day 02'!C22+'Day 03'!C22+'Day 04'!C22+'Day 05'!C22+'Day 06'!C22+'Day 07'!C22+'Day 08'!C22+'Day 09'!C22+'Day 10'!C22+'Day 11'!C22+'Day 12'!C22+'Day 13'!C22+'Day 14'!C22+'Day 15'!C22+'Day 16'!C22+'Day 17'!C22+'Day 18'!C22+'Day 19'!C22+'Day 20'!C22+'Day 21'!C22+'Day 22'!C22+'Day 23'!C22+'Day 24'!C22+'Day 25'!C22+'Day 26'!C22+'Day 27'!C22+'Day 28'!C22+'Day 29'!C22+'Day 30'!C22+'Day 31'!C22</f>
        <v/>
      </c>
      <c r="E21" s="9">
        <f>INT(D21/C21)</f>
        <v/>
      </c>
      <c r="F21" s="9">
        <f>D21-(E21*C21)</f>
        <v/>
      </c>
      <c r="G21" s="3">
        <f>E21+F21/C21</f>
        <v/>
      </c>
    </row>
    <row r="22">
      <c r="A22" t="n">
        <v>18</v>
      </c>
      <c r="B22" t="inlineStr">
        <is>
          <t>Long Bar</t>
        </is>
      </c>
      <c r="C22" t="n">
        <v>36</v>
      </c>
      <c r="D22" s="9">
        <f>'Day 01'!C23+'Day 02'!C23+'Day 03'!C23+'Day 04'!C23+'Day 05'!C23+'Day 06'!C23+'Day 07'!C23+'Day 08'!C23+'Day 09'!C23+'Day 10'!C23+'Day 11'!C23+'Day 12'!C23+'Day 13'!C23+'Day 14'!C23+'Day 15'!C23+'Day 16'!C23+'Day 17'!C23+'Day 18'!C23+'Day 19'!C23+'Day 20'!C23+'Day 21'!C23+'Day 22'!C23+'Day 23'!C23+'Day 24'!C23+'Day 25'!C23+'Day 26'!C23+'Day 27'!C23+'Day 28'!C23+'Day 29'!C23+'Day 30'!C23+'Day 31'!C23</f>
        <v/>
      </c>
      <c r="E22" s="9">
        <f>INT(D22/C22)</f>
        <v/>
      </c>
      <c r="F22" s="9">
        <f>D22-(E22*C22)</f>
        <v/>
      </c>
      <c r="G22" s="3">
        <f>E22+F22/C22</f>
        <v/>
      </c>
    </row>
    <row r="23">
      <c r="A23" t="n">
        <v>19</v>
      </c>
      <c r="B23" t="inlineStr">
        <is>
          <t>Super Bar</t>
        </is>
      </c>
      <c r="C23" t="n">
        <v>36</v>
      </c>
      <c r="D23" s="9">
        <f>'Day 01'!C24+'Day 02'!C24+'Day 03'!C24+'Day 04'!C24+'Day 05'!C24+'Day 06'!C24+'Day 07'!C24+'Day 08'!C24+'Day 09'!C24+'Day 10'!C24+'Day 11'!C24+'Day 12'!C24+'Day 13'!C24+'Day 14'!C24+'Day 15'!C24+'Day 16'!C24+'Day 17'!C24+'Day 18'!C24+'Day 19'!C24+'Day 20'!C24+'Day 21'!C24+'Day 22'!C24+'Day 23'!C24+'Day 24'!C24+'Day 25'!C24+'Day 26'!C24+'Day 27'!C24+'Day 28'!C24+'Day 29'!C24+'Day 30'!C24+'Day 31'!C24</f>
        <v/>
      </c>
      <c r="E23" s="9">
        <f>INT(D23/C23)</f>
        <v/>
      </c>
      <c r="F23" s="9">
        <f>D23-(E23*C23)</f>
        <v/>
      </c>
      <c r="G23" s="3">
        <f>E23+F23/C23</f>
        <v/>
      </c>
    </row>
    <row r="24">
      <c r="A24" t="n">
        <v>20</v>
      </c>
      <c r="B24" t="inlineStr">
        <is>
          <t>Kite (L)</t>
        </is>
      </c>
      <c r="C24" t="n">
        <v>10</v>
      </c>
      <c r="D24" s="9">
        <f>'Day 01'!C25+'Day 02'!C25+'Day 03'!C25+'Day 04'!C25+'Day 05'!C25+'Day 06'!C25+'Day 07'!C25+'Day 08'!C25+'Day 09'!C25+'Day 10'!C25+'Day 11'!C25+'Day 12'!C25+'Day 13'!C25+'Day 14'!C25+'Day 15'!C25+'Day 16'!C25+'Day 17'!C25+'Day 18'!C25+'Day 19'!C25+'Day 20'!C25+'Day 21'!C25+'Day 22'!C25+'Day 23'!C25+'Day 24'!C25+'Day 25'!C25+'Day 26'!C25+'Day 27'!C25+'Day 28'!C25+'Day 29'!C25+'Day 30'!C25+'Day 31'!C25</f>
        <v/>
      </c>
      <c r="E24" s="9">
        <f>INT(D24/C24)</f>
        <v/>
      </c>
      <c r="F24" s="9">
        <f>D24-(E24*C24)</f>
        <v/>
      </c>
      <c r="G24" s="3">
        <f>E24+F24/C24</f>
        <v/>
      </c>
    </row>
    <row r="25">
      <c r="A25" t="n">
        <v>21</v>
      </c>
      <c r="B25" t="inlineStr">
        <is>
          <t>Kite (C)</t>
        </is>
      </c>
      <c r="C25" t="n">
        <v>10</v>
      </c>
      <c r="D25" s="9">
        <f>'Day 01'!C26+'Day 02'!C26+'Day 03'!C26+'Day 04'!C26+'Day 05'!C26+'Day 06'!C26+'Day 07'!C26+'Day 08'!C26+'Day 09'!C26+'Day 10'!C26+'Day 11'!C26+'Day 12'!C26+'Day 13'!C26+'Day 14'!C26+'Day 15'!C26+'Day 16'!C26+'Day 17'!C26+'Day 18'!C26+'Day 19'!C26+'Day 20'!C26+'Day 21'!C26+'Day 22'!C26+'Day 23'!C26+'Day 24'!C26+'Day 25'!C26+'Day 26'!C26+'Day 27'!C26+'Day 28'!C26+'Day 29'!C26+'Day 30'!C26+'Day 31'!C26</f>
        <v/>
      </c>
      <c r="E25" s="9">
        <f>INT(D25/C25)</f>
        <v/>
      </c>
      <c r="F25" s="9">
        <f>D25-(E25*C25)</f>
        <v/>
      </c>
      <c r="G25" s="3">
        <f>E25+F25/C25</f>
        <v/>
      </c>
    </row>
    <row r="26">
      <c r="A26" t="n">
        <v>22</v>
      </c>
      <c r="B26" t="inlineStr">
        <is>
          <t>Kite (R)</t>
        </is>
      </c>
      <c r="C26" t="n">
        <v>20</v>
      </c>
      <c r="D26" s="9">
        <f>'Day 01'!C27+'Day 02'!C27+'Day 03'!C27+'Day 04'!C27+'Day 05'!C27+'Day 06'!C27+'Day 07'!C27+'Day 08'!C27+'Day 09'!C27+'Day 10'!C27+'Day 11'!C27+'Day 12'!C27+'Day 13'!C27+'Day 14'!C27+'Day 15'!C27+'Day 16'!C27+'Day 17'!C27+'Day 18'!C27+'Day 19'!C27+'Day 20'!C27+'Day 21'!C27+'Day 22'!C27+'Day 23'!C27+'Day 24'!C27+'Day 25'!C27+'Day 26'!C27+'Day 27'!C27+'Day 28'!C27+'Day 29'!C27+'Day 30'!C27+'Day 31'!C27</f>
        <v/>
      </c>
      <c r="E26" s="9">
        <f>INT(D26/C26)</f>
        <v/>
      </c>
      <c r="F26" s="9">
        <f>D26-(E26*C26)</f>
        <v/>
      </c>
      <c r="G26" s="3">
        <f>E26+F26/C26</f>
        <v/>
      </c>
    </row>
    <row r="27">
      <c r="A27" t="n">
        <v>23</v>
      </c>
      <c r="B27" t="inlineStr">
        <is>
          <t>Kite (S)</t>
        </is>
      </c>
      <c r="C27" t="n">
        <v>20</v>
      </c>
      <c r="D27" s="9">
        <f>'Day 01'!C28+'Day 02'!C28+'Day 03'!C28+'Day 04'!C28+'Day 05'!C28+'Day 06'!C28+'Day 07'!C28+'Day 08'!C28+'Day 09'!C28+'Day 10'!C28+'Day 11'!C28+'Day 12'!C28+'Day 13'!C28+'Day 14'!C28+'Day 15'!C28+'Day 16'!C28+'Day 17'!C28+'Day 18'!C28+'Day 19'!C28+'Day 20'!C28+'Day 21'!C28+'Day 22'!C28+'Day 23'!C28+'Day 24'!C28+'Day 25'!C28+'Day 26'!C28+'Day 27'!C28+'Day 28'!C28+'Day 29'!C28+'Day 30'!C28+'Day 31'!C28</f>
        <v/>
      </c>
      <c r="E27" s="9">
        <f>INT(D27/C27)</f>
        <v/>
      </c>
      <c r="F27" s="9">
        <f>D27-(E27*C27)</f>
        <v/>
      </c>
      <c r="G27" s="3">
        <f>E27+F27/C27</f>
        <v/>
      </c>
    </row>
    <row r="28">
      <c r="A28" t="n">
        <v>24</v>
      </c>
      <c r="B28" t="inlineStr">
        <is>
          <t>Olympia (L)</t>
        </is>
      </c>
      <c r="C28" t="n">
        <v>10</v>
      </c>
      <c r="D28" s="9">
        <f>'Day 01'!C29+'Day 02'!C29+'Day 03'!C29+'Day 04'!C29+'Day 05'!C29+'Day 06'!C29+'Day 07'!C29+'Day 08'!C29+'Day 09'!C29+'Day 10'!C29+'Day 11'!C29+'Day 12'!C29+'Day 13'!C29+'Day 14'!C29+'Day 15'!C29+'Day 16'!C29+'Day 17'!C29+'Day 18'!C29+'Day 19'!C29+'Day 20'!C29+'Day 21'!C29+'Day 22'!C29+'Day 23'!C29+'Day 24'!C29+'Day 25'!C29+'Day 26'!C29+'Day 27'!C29+'Day 28'!C29+'Day 29'!C29+'Day 30'!C29+'Day 31'!C29</f>
        <v/>
      </c>
      <c r="E28" s="9">
        <f>INT(D28/C28)</f>
        <v/>
      </c>
      <c r="F28" s="9">
        <f>D28-(E28*C28)</f>
        <v/>
      </c>
      <c r="G28" s="3">
        <f>E28+F28/C28</f>
        <v/>
      </c>
    </row>
    <row r="29">
      <c r="A29" t="n">
        <v>25</v>
      </c>
      <c r="B29" t="inlineStr">
        <is>
          <t>Olympia (C)</t>
        </is>
      </c>
      <c r="C29" t="n">
        <v>10</v>
      </c>
      <c r="D29" s="9">
        <f>'Day 01'!C30+'Day 02'!C30+'Day 03'!C30+'Day 04'!C30+'Day 05'!C30+'Day 06'!C30+'Day 07'!C30+'Day 08'!C30+'Day 09'!C30+'Day 10'!C30+'Day 11'!C30+'Day 12'!C30+'Day 13'!C30+'Day 14'!C30+'Day 15'!C30+'Day 16'!C30+'Day 17'!C30+'Day 18'!C30+'Day 19'!C30+'Day 20'!C30+'Day 21'!C30+'Day 22'!C30+'Day 23'!C30+'Day 24'!C30+'Day 25'!C30+'Day 26'!C30+'Day 27'!C30+'Day 28'!C30+'Day 29'!C30+'Day 30'!C30+'Day 31'!C30</f>
        <v/>
      </c>
      <c r="E29" s="9">
        <f>INT(D29/C29)</f>
        <v/>
      </c>
      <c r="F29" s="9">
        <f>D29-(E29*C29)</f>
        <v/>
      </c>
      <c r="G29" s="3">
        <f>E29+F29/C29</f>
        <v/>
      </c>
    </row>
    <row r="30">
      <c r="A30" t="n">
        <v>26</v>
      </c>
      <c r="B30" t="inlineStr">
        <is>
          <t>Olympia (R)</t>
        </is>
      </c>
      <c r="C30" t="n">
        <v>20</v>
      </c>
      <c r="D30" s="9">
        <f>'Day 01'!C31+'Day 02'!C31+'Day 03'!C31+'Day 04'!C31+'Day 05'!C31+'Day 06'!C31+'Day 07'!C31+'Day 08'!C31+'Day 09'!C31+'Day 10'!C31+'Day 11'!C31+'Day 12'!C31+'Day 13'!C31+'Day 14'!C31+'Day 15'!C31+'Day 16'!C31+'Day 17'!C31+'Day 18'!C31+'Day 19'!C31+'Day 20'!C31+'Day 21'!C31+'Day 22'!C31+'Day 23'!C31+'Day 24'!C31+'Day 25'!C31+'Day 26'!C31+'Day 27'!C31+'Day 28'!C31+'Day 29'!C31+'Day 30'!C31+'Day 31'!C31</f>
        <v/>
      </c>
      <c r="E30" s="9">
        <f>INT(D30/C30)</f>
        <v/>
      </c>
      <c r="F30" s="9">
        <f>D30-(E30*C30)</f>
        <v/>
      </c>
      <c r="G30" s="3">
        <f>E30+F30/C30</f>
        <v/>
      </c>
    </row>
    <row r="31">
      <c r="A31" t="n">
        <v>27</v>
      </c>
      <c r="B31" t="inlineStr">
        <is>
          <t>Olympia (S)</t>
        </is>
      </c>
      <c r="C31" t="n">
        <v>20</v>
      </c>
      <c r="D31" s="9">
        <f>'Day 01'!C32+'Day 02'!C32+'Day 03'!C32+'Day 04'!C32+'Day 05'!C32+'Day 06'!C32+'Day 07'!C32+'Day 08'!C32+'Day 09'!C32+'Day 10'!C32+'Day 11'!C32+'Day 12'!C32+'Day 13'!C32+'Day 14'!C32+'Day 15'!C32+'Day 16'!C32+'Day 17'!C32+'Day 18'!C32+'Day 19'!C32+'Day 20'!C32+'Day 21'!C32+'Day 22'!C32+'Day 23'!C32+'Day 24'!C32+'Day 25'!C32+'Day 26'!C32+'Day 27'!C32+'Day 28'!C32+'Day 29'!C32+'Day 30'!C32+'Day 31'!C32</f>
        <v/>
      </c>
      <c r="E31" s="9">
        <f>INT(D31/C31)</f>
        <v/>
      </c>
      <c r="F31" s="9">
        <f>D31-(E31*C31)</f>
        <v/>
      </c>
      <c r="G31" s="3">
        <f>E31+F31/C31</f>
        <v/>
      </c>
    </row>
    <row r="32">
      <c r="A32" t="n">
        <v>28</v>
      </c>
      <c r="B32" t="inlineStr">
        <is>
          <t>Party (L)</t>
        </is>
      </c>
      <c r="C32" t="n">
        <v>10</v>
      </c>
      <c r="D32" s="9">
        <f>'Day 01'!C33+'Day 02'!C33+'Day 03'!C33+'Day 04'!C33+'Day 05'!C33+'Day 06'!C33+'Day 07'!C33+'Day 08'!C33+'Day 09'!C33+'Day 10'!C33+'Day 11'!C33+'Day 12'!C33+'Day 13'!C33+'Day 14'!C33+'Day 15'!C33+'Day 16'!C33+'Day 17'!C33+'Day 18'!C33+'Day 19'!C33+'Day 20'!C33+'Day 21'!C33+'Day 22'!C33+'Day 23'!C33+'Day 24'!C33+'Day 25'!C33+'Day 26'!C33+'Day 27'!C33+'Day 28'!C33+'Day 29'!C33+'Day 30'!C33+'Day 31'!C33</f>
        <v/>
      </c>
      <c r="E32" s="9">
        <f>INT(D32/C32)</f>
        <v/>
      </c>
      <c r="F32" s="9">
        <f>D32-(E32*C32)</f>
        <v/>
      </c>
      <c r="G32" s="3">
        <f>E32+F32/C32</f>
        <v/>
      </c>
    </row>
    <row r="33">
      <c r="A33" t="n">
        <v>29</v>
      </c>
      <c r="B33" t="inlineStr">
        <is>
          <t>Party (C)</t>
        </is>
      </c>
      <c r="C33" t="n">
        <v>10</v>
      </c>
      <c r="D33" s="9">
        <f>'Day 01'!C34+'Day 02'!C34+'Day 03'!C34+'Day 04'!C34+'Day 05'!C34+'Day 06'!C34+'Day 07'!C34+'Day 08'!C34+'Day 09'!C34+'Day 10'!C34+'Day 11'!C34+'Day 12'!C34+'Day 13'!C34+'Day 14'!C34+'Day 15'!C34+'Day 16'!C34+'Day 17'!C34+'Day 18'!C34+'Day 19'!C34+'Day 20'!C34+'Day 21'!C34+'Day 22'!C34+'Day 23'!C34+'Day 24'!C34+'Day 25'!C34+'Day 26'!C34+'Day 27'!C34+'Day 28'!C34+'Day 29'!C34+'Day 30'!C34+'Day 31'!C34</f>
        <v/>
      </c>
      <c r="E33" s="9">
        <f>INT(D33/C33)</f>
        <v/>
      </c>
      <c r="F33" s="9">
        <f>D33-(E33*C33)</f>
        <v/>
      </c>
      <c r="G33" s="3">
        <f>E33+F33/C33</f>
        <v/>
      </c>
    </row>
    <row r="34">
      <c r="A34" t="n">
        <v>30</v>
      </c>
      <c r="B34" t="inlineStr">
        <is>
          <t>Party (R)</t>
        </is>
      </c>
      <c r="C34" t="n">
        <v>20</v>
      </c>
      <c r="D34" s="9">
        <f>'Day 01'!C35+'Day 02'!C35+'Day 03'!C35+'Day 04'!C35+'Day 05'!C35+'Day 06'!C35+'Day 07'!C35+'Day 08'!C35+'Day 09'!C35+'Day 10'!C35+'Day 11'!C35+'Day 12'!C35+'Day 13'!C35+'Day 14'!C35+'Day 15'!C35+'Day 16'!C35+'Day 17'!C35+'Day 18'!C35+'Day 19'!C35+'Day 20'!C35+'Day 21'!C35+'Day 22'!C35+'Day 23'!C35+'Day 24'!C35+'Day 25'!C35+'Day 26'!C35+'Day 27'!C35+'Day 28'!C35+'Day 29'!C35+'Day 30'!C35+'Day 31'!C35</f>
        <v/>
      </c>
      <c r="E34" s="9">
        <f>INT(D34/C34)</f>
        <v/>
      </c>
      <c r="F34" s="9">
        <f>D34-(E34*C34)</f>
        <v/>
      </c>
      <c r="G34" s="3">
        <f>E34+F34/C34</f>
        <v/>
      </c>
    </row>
    <row r="35">
      <c r="A35" t="n">
        <v>31</v>
      </c>
      <c r="B35" t="inlineStr">
        <is>
          <t>Bird (L)</t>
        </is>
      </c>
      <c r="C35" t="n">
        <v>10</v>
      </c>
      <c r="D35" s="9">
        <f>'Day 01'!C36+'Day 02'!C36+'Day 03'!C36+'Day 04'!C36+'Day 05'!C36+'Day 06'!C36+'Day 07'!C36+'Day 08'!C36+'Day 09'!C36+'Day 10'!C36+'Day 11'!C36+'Day 12'!C36+'Day 13'!C36+'Day 14'!C36+'Day 15'!C36+'Day 16'!C36+'Day 17'!C36+'Day 18'!C36+'Day 19'!C36+'Day 20'!C36+'Day 21'!C36+'Day 22'!C36+'Day 23'!C36+'Day 24'!C36+'Day 25'!C36+'Day 26'!C36+'Day 27'!C36+'Day 28'!C36+'Day 29'!C36+'Day 30'!C36+'Day 31'!C36</f>
        <v/>
      </c>
      <c r="E35" s="9">
        <f>INT(D35/C35)</f>
        <v/>
      </c>
      <c r="F35" s="9">
        <f>D35-(E35*C35)</f>
        <v/>
      </c>
      <c r="G35" s="3">
        <f>E35+F35/C35</f>
        <v/>
      </c>
    </row>
    <row r="36">
      <c r="A36" t="n">
        <v>32</v>
      </c>
      <c r="B36" t="inlineStr">
        <is>
          <t>Bird (C)</t>
        </is>
      </c>
      <c r="C36" t="n">
        <v>10</v>
      </c>
      <c r="D36" s="9">
        <f>'Day 01'!C37+'Day 02'!C37+'Day 03'!C37+'Day 04'!C37+'Day 05'!C37+'Day 06'!C37+'Day 07'!C37+'Day 08'!C37+'Day 09'!C37+'Day 10'!C37+'Day 11'!C37+'Day 12'!C37+'Day 13'!C37+'Day 14'!C37+'Day 15'!C37+'Day 16'!C37+'Day 17'!C37+'Day 18'!C37+'Day 19'!C37+'Day 20'!C37+'Day 21'!C37+'Day 22'!C37+'Day 23'!C37+'Day 24'!C37+'Day 25'!C37+'Day 26'!C37+'Day 27'!C37+'Day 28'!C37+'Day 29'!C37+'Day 30'!C37+'Day 31'!C37</f>
        <v/>
      </c>
      <c r="E36" s="9">
        <f>INT(D36/C36)</f>
        <v/>
      </c>
      <c r="F36" s="9">
        <f>D36-(E36*C36)</f>
        <v/>
      </c>
      <c r="G36" s="3">
        <f>E36+F36/C36</f>
        <v/>
      </c>
    </row>
    <row r="37">
      <c r="A37" t="n">
        <v>33</v>
      </c>
      <c r="B37" t="inlineStr">
        <is>
          <t>Tanga (L)</t>
        </is>
      </c>
      <c r="C37" t="n">
        <v>10</v>
      </c>
      <c r="D37" s="9">
        <f>'Day 01'!C38+'Day 02'!C38+'Day 03'!C38+'Day 04'!C38+'Day 05'!C38+'Day 06'!C38+'Day 07'!C38+'Day 08'!C38+'Day 09'!C38+'Day 10'!C38+'Day 11'!C38+'Day 12'!C38+'Day 13'!C38+'Day 14'!C38+'Day 15'!C38+'Day 16'!C38+'Day 17'!C38+'Day 18'!C38+'Day 19'!C38+'Day 20'!C38+'Day 21'!C38+'Day 22'!C38+'Day 23'!C38+'Day 24'!C38+'Day 25'!C38+'Day 26'!C38+'Day 27'!C38+'Day 28'!C38+'Day 29'!C38+'Day 30'!C38+'Day 31'!C38</f>
        <v/>
      </c>
      <c r="E37" s="9">
        <f>INT(D37/C37)</f>
        <v/>
      </c>
      <c r="F37" s="9">
        <f>D37-(E37*C37)</f>
        <v/>
      </c>
      <c r="G37" s="3">
        <f>E37+F37/C37</f>
        <v/>
      </c>
    </row>
    <row r="38">
      <c r="A38" t="n">
        <v>34</v>
      </c>
      <c r="B38" t="inlineStr">
        <is>
          <t>Tanga (C)</t>
        </is>
      </c>
      <c r="C38" t="n">
        <v>10</v>
      </c>
      <c r="D38" s="9">
        <f>'Day 01'!C39+'Day 02'!C39+'Day 03'!C39+'Day 04'!C39+'Day 05'!C39+'Day 06'!C39+'Day 07'!C39+'Day 08'!C39+'Day 09'!C39+'Day 10'!C39+'Day 11'!C39+'Day 12'!C39+'Day 13'!C39+'Day 14'!C39+'Day 15'!C39+'Day 16'!C39+'Day 17'!C39+'Day 18'!C39+'Day 19'!C39+'Day 20'!C39+'Day 21'!C39+'Day 22'!C39+'Day 23'!C39+'Day 24'!C39+'Day 25'!C39+'Day 26'!C39+'Day 27'!C39+'Day 28'!C39+'Day 29'!C39+'Day 30'!C39+'Day 31'!C39</f>
        <v/>
      </c>
      <c r="E38" s="9">
        <f>INT(D38/C38)</f>
        <v/>
      </c>
      <c r="F38" s="9">
        <f>D38-(E38*C38)</f>
        <v/>
      </c>
      <c r="G38" s="3">
        <f>E38+F38/C38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PRIMARY SALES SUMMARY (Auto-calculated)</t>
        </is>
      </c>
    </row>
    <row r="4">
      <c r="A4" s="5" t="inlineStr">
        <is>
          <t>SKU #</t>
        </is>
      </c>
      <c r="B4" s="5" t="inlineStr">
        <is>
          <t>SKU Name</t>
        </is>
      </c>
      <c r="C4" s="5" t="inlineStr">
        <is>
          <t>Units/Ctn</t>
        </is>
      </c>
      <c r="D4" s="5" t="inlineStr">
        <is>
          <t>Total Primary (Ctns)</t>
        </is>
      </c>
      <c r="E4" s="5" t="inlineStr">
        <is>
          <t>Total Amount (Rs)</t>
        </is>
      </c>
    </row>
    <row r="5">
      <c r="A5" t="n">
        <v>1</v>
      </c>
      <c r="B5" t="inlineStr">
        <is>
          <t>Kite Rs 10</t>
        </is>
      </c>
      <c r="C5" t="n">
        <v>144</v>
      </c>
      <c r="D5" s="3">
        <f>SUMIF('Primary Sales Entry'!B:B,A5,'Primary Sales Entry'!E:E)</f>
        <v/>
      </c>
      <c r="E5" s="3">
        <f>SUMIF('Primary Sales Entry'!B:B,A5,'Primary Sales Entry'!F:F)</f>
        <v/>
      </c>
    </row>
    <row r="6">
      <c r="A6" t="n">
        <v>2</v>
      </c>
      <c r="B6" t="inlineStr">
        <is>
          <t>Kite Rs 20</t>
        </is>
      </c>
      <c r="C6" t="n">
        <v>96</v>
      </c>
      <c r="D6" s="3">
        <f>SUMIF('Primary Sales Entry'!B:B,A6,'Primary Sales Entry'!E:E)</f>
        <v/>
      </c>
      <c r="E6" s="3">
        <f>SUMIF('Primary Sales Entry'!B:B,A6,'Primary Sales Entry'!F:F)</f>
        <v/>
      </c>
    </row>
    <row r="7">
      <c r="A7" t="n">
        <v>3</v>
      </c>
      <c r="B7" t="inlineStr">
        <is>
          <t>Kite Rs 50</t>
        </is>
      </c>
      <c r="C7" t="n">
        <v>48</v>
      </c>
      <c r="D7" s="3">
        <f>SUMIF('Primary Sales Entry'!B:B,A7,'Primary Sales Entry'!E:E)</f>
        <v/>
      </c>
      <c r="E7" s="3">
        <f>SUMIF('Primary Sales Entry'!B:B,A7,'Primary Sales Entry'!F:F)</f>
        <v/>
      </c>
    </row>
    <row r="8">
      <c r="A8" t="n">
        <v>4</v>
      </c>
      <c r="B8" t="inlineStr">
        <is>
          <t>Kite Rs 99</t>
        </is>
      </c>
      <c r="C8" t="n">
        <v>24</v>
      </c>
      <c r="D8" s="3">
        <f>SUMIF('Primary Sales Entry'!B:B,A8,'Primary Sales Entry'!E:E)</f>
        <v/>
      </c>
      <c r="E8" s="3">
        <f>SUMIF('Primary Sales Entry'!B:B,A8,'Primary Sales Entry'!F:F)</f>
        <v/>
      </c>
    </row>
    <row r="9">
      <c r="A9" t="n">
        <v>5</v>
      </c>
      <c r="B9" t="inlineStr">
        <is>
          <t>Kite 0.5kg</t>
        </is>
      </c>
      <c r="C9" t="n">
        <v>24</v>
      </c>
      <c r="D9" s="3">
        <f>SUMIF('Primary Sales Entry'!B:B,A9,'Primary Sales Entry'!E:E)</f>
        <v/>
      </c>
      <c r="E9" s="3">
        <f>SUMIF('Primary Sales Entry'!B:B,A9,'Primary Sales Entry'!F:F)</f>
        <v/>
      </c>
    </row>
    <row r="10">
      <c r="A10" t="n">
        <v>6</v>
      </c>
      <c r="B10" t="inlineStr">
        <is>
          <t>Kite 1kg</t>
        </is>
      </c>
      <c r="C10" t="n">
        <v>12</v>
      </c>
      <c r="D10" s="3">
        <f>SUMIF('Primary Sales Entry'!B:B,A10,'Primary Sales Entry'!E:E)</f>
        <v/>
      </c>
      <c r="E10" s="3">
        <f>SUMIF('Primary Sales Entry'!B:B,A10,'Primary Sales Entry'!F:F)</f>
        <v/>
      </c>
    </row>
    <row r="11">
      <c r="A11" t="n">
        <v>7</v>
      </c>
      <c r="B11" t="inlineStr">
        <is>
          <t>Kite 2kg</t>
        </is>
      </c>
      <c r="C11" t="n">
        <v>6</v>
      </c>
      <c r="D11" s="3">
        <f>SUMIF('Primary Sales Entry'!B:B,A11,'Primary Sales Entry'!E:E)</f>
        <v/>
      </c>
      <c r="E11" s="3">
        <f>SUMIF('Primary Sales Entry'!B:B,A11,'Primary Sales Entry'!F:F)</f>
        <v/>
      </c>
    </row>
    <row r="12">
      <c r="A12" t="n">
        <v>8</v>
      </c>
      <c r="B12" t="inlineStr">
        <is>
          <t>Burq Rs 10</t>
        </is>
      </c>
      <c r="C12" t="n">
        <v>204</v>
      </c>
      <c r="D12" s="3">
        <f>SUMIF('Primary Sales Entry'!B:B,A12,'Primary Sales Entry'!E:E)</f>
        <v/>
      </c>
      <c r="E12" s="3">
        <f>SUMIF('Primary Sales Entry'!B:B,A12,'Primary Sales Entry'!F:F)</f>
        <v/>
      </c>
    </row>
    <row r="13">
      <c r="A13" t="n">
        <v>9</v>
      </c>
      <c r="B13" t="inlineStr">
        <is>
          <t>Burq Rs 20</t>
        </is>
      </c>
      <c r="C13" t="n">
        <v>96</v>
      </c>
      <c r="D13" s="3">
        <f>SUMIF('Primary Sales Entry'!B:B,A13,'Primary Sales Entry'!E:E)</f>
        <v/>
      </c>
      <c r="E13" s="3">
        <f>SUMIF('Primary Sales Entry'!B:B,A13,'Primary Sales Entry'!F:F)</f>
        <v/>
      </c>
    </row>
    <row r="14">
      <c r="A14" t="n">
        <v>10</v>
      </c>
      <c r="B14" t="inlineStr">
        <is>
          <t>Burq Rs 50</t>
        </is>
      </c>
      <c r="C14" t="n">
        <v>48</v>
      </c>
      <c r="D14" s="3">
        <f>SUMIF('Primary Sales Entry'!B:B,A14,'Primary Sales Entry'!E:E)</f>
        <v/>
      </c>
      <c r="E14" s="3">
        <f>SUMIF('Primary Sales Entry'!B:B,A14,'Primary Sales Entry'!F:F)</f>
        <v/>
      </c>
    </row>
    <row r="15">
      <c r="A15" t="n">
        <v>11</v>
      </c>
      <c r="B15" t="inlineStr">
        <is>
          <t>Burq Rs 99</t>
        </is>
      </c>
      <c r="C15" t="n">
        <v>24</v>
      </c>
      <c r="D15" s="3">
        <f>SUMIF('Primary Sales Entry'!B:B,A15,'Primary Sales Entry'!E:E)</f>
        <v/>
      </c>
      <c r="E15" s="3">
        <f>SUMIF('Primary Sales Entry'!B:B,A15,'Primary Sales Entry'!F:F)</f>
        <v/>
      </c>
    </row>
    <row r="16">
      <c r="A16" t="n">
        <v>12</v>
      </c>
      <c r="B16" t="inlineStr">
        <is>
          <t>Burq 1kg</t>
        </is>
      </c>
      <c r="C16" t="n">
        <v>12</v>
      </c>
      <c r="D16" s="3">
        <f>SUMIF('Primary Sales Entry'!B:B,A16,'Primary Sales Entry'!E:E)</f>
        <v/>
      </c>
      <c r="E16" s="3">
        <f>SUMIF('Primary Sales Entry'!B:B,A16,'Primary Sales Entry'!F:F)</f>
        <v/>
      </c>
    </row>
    <row r="17">
      <c r="A17" t="n">
        <v>13</v>
      </c>
      <c r="B17" t="inlineStr">
        <is>
          <t>Burq 2.3kg</t>
        </is>
      </c>
      <c r="C17" t="n">
        <v>6</v>
      </c>
      <c r="D17" s="3">
        <f>SUMIF('Primary Sales Entry'!B:B,A17,'Primary Sales Entry'!E:E)</f>
        <v/>
      </c>
      <c r="E17" s="3">
        <f>SUMIF('Primary Sales Entry'!B:B,A17,'Primary Sales Entry'!F:F)</f>
        <v/>
      </c>
    </row>
    <row r="18">
      <c r="A18" t="n">
        <v>14</v>
      </c>
      <c r="B18" t="inlineStr">
        <is>
          <t>Vero 5kg</t>
        </is>
      </c>
      <c r="C18" t="n">
        <v>4</v>
      </c>
      <c r="D18" s="3">
        <f>SUMIF('Primary Sales Entry'!B:B,A18,'Primary Sales Entry'!E:E)</f>
        <v/>
      </c>
      <c r="E18" s="3">
        <f>SUMIF('Primary Sales Entry'!B:B,A18,'Primary Sales Entry'!F:F)</f>
        <v/>
      </c>
    </row>
    <row r="19">
      <c r="A19" t="n">
        <v>15</v>
      </c>
      <c r="B19" t="inlineStr">
        <is>
          <t>Vero 20kg</t>
        </is>
      </c>
      <c r="C19" t="n">
        <v>1</v>
      </c>
      <c r="D19" s="3">
        <f>SUMIF('Primary Sales Entry'!B:B,A19,'Primary Sales Entry'!E:E)</f>
        <v/>
      </c>
      <c r="E19" s="3">
        <f>SUMIF('Primary Sales Entry'!B:B,A19,'Primary Sales Entry'!F:F)</f>
        <v/>
      </c>
    </row>
    <row r="20">
      <c r="A20" t="n">
        <v>16</v>
      </c>
      <c r="B20" t="inlineStr">
        <is>
          <t>Regular</t>
        </is>
      </c>
      <c r="C20" t="n">
        <v>48</v>
      </c>
      <c r="D20" s="3">
        <f>SUMIF('Primary Sales Entry'!B:B,A20,'Primary Sales Entry'!E:E)</f>
        <v/>
      </c>
      <c r="E20" s="3">
        <f>SUMIF('Primary Sales Entry'!B:B,A20,'Primary Sales Entry'!F:F)</f>
        <v/>
      </c>
    </row>
    <row r="21">
      <c r="A21" t="n">
        <v>17</v>
      </c>
      <c r="B21" t="inlineStr">
        <is>
          <t>Large</t>
        </is>
      </c>
      <c r="C21" t="n">
        <v>36</v>
      </c>
      <c r="D21" s="3">
        <f>SUMIF('Primary Sales Entry'!B:B,A21,'Primary Sales Entry'!E:E)</f>
        <v/>
      </c>
      <c r="E21" s="3">
        <f>SUMIF('Primary Sales Entry'!B:B,A21,'Primary Sales Entry'!F:F)</f>
        <v/>
      </c>
    </row>
    <row r="22">
      <c r="A22" t="n">
        <v>18</v>
      </c>
      <c r="B22" t="inlineStr">
        <is>
          <t>Long Bar</t>
        </is>
      </c>
      <c r="C22" t="n">
        <v>36</v>
      </c>
      <c r="D22" s="3">
        <f>SUMIF('Primary Sales Entry'!B:B,A22,'Primary Sales Entry'!E:E)</f>
        <v/>
      </c>
      <c r="E22" s="3">
        <f>SUMIF('Primary Sales Entry'!B:B,A22,'Primary Sales Entry'!F:F)</f>
        <v/>
      </c>
    </row>
    <row r="23">
      <c r="A23" t="n">
        <v>19</v>
      </c>
      <c r="B23" t="inlineStr">
        <is>
          <t>Super Bar</t>
        </is>
      </c>
      <c r="C23" t="n">
        <v>36</v>
      </c>
      <c r="D23" s="3">
        <f>SUMIF('Primary Sales Entry'!B:B,A23,'Primary Sales Entry'!E:E)</f>
        <v/>
      </c>
      <c r="E23" s="3">
        <f>SUMIF('Primary Sales Entry'!B:B,A23,'Primary Sales Entry'!F:F)</f>
        <v/>
      </c>
    </row>
    <row r="24">
      <c r="A24" t="n">
        <v>20</v>
      </c>
      <c r="B24" t="inlineStr">
        <is>
          <t>Kite (L)</t>
        </is>
      </c>
      <c r="C24" t="n">
        <v>10</v>
      </c>
      <c r="D24" s="3">
        <f>SUMIF('Primary Sales Entry'!B:B,A24,'Primary Sales Entry'!E:E)</f>
        <v/>
      </c>
      <c r="E24" s="3">
        <f>SUMIF('Primary Sales Entry'!B:B,A24,'Primary Sales Entry'!F:F)</f>
        <v/>
      </c>
    </row>
    <row r="25">
      <c r="A25" t="n">
        <v>21</v>
      </c>
      <c r="B25" t="inlineStr">
        <is>
          <t>Kite (C)</t>
        </is>
      </c>
      <c r="C25" t="n">
        <v>10</v>
      </c>
      <c r="D25" s="3">
        <f>SUMIF('Primary Sales Entry'!B:B,A25,'Primary Sales Entry'!E:E)</f>
        <v/>
      </c>
      <c r="E25" s="3">
        <f>SUMIF('Primary Sales Entry'!B:B,A25,'Primary Sales Entry'!F:F)</f>
        <v/>
      </c>
    </row>
    <row r="26">
      <c r="A26" t="n">
        <v>22</v>
      </c>
      <c r="B26" t="inlineStr">
        <is>
          <t>Kite (R)</t>
        </is>
      </c>
      <c r="C26" t="n">
        <v>20</v>
      </c>
      <c r="D26" s="3">
        <f>SUMIF('Primary Sales Entry'!B:B,A26,'Primary Sales Entry'!E:E)</f>
        <v/>
      </c>
      <c r="E26" s="3">
        <f>SUMIF('Primary Sales Entry'!B:B,A26,'Primary Sales Entry'!F:F)</f>
        <v/>
      </c>
    </row>
    <row r="27">
      <c r="A27" t="n">
        <v>23</v>
      </c>
      <c r="B27" t="inlineStr">
        <is>
          <t>Kite (S)</t>
        </is>
      </c>
      <c r="C27" t="n">
        <v>20</v>
      </c>
      <c r="D27" s="3">
        <f>SUMIF('Primary Sales Entry'!B:B,A27,'Primary Sales Entry'!E:E)</f>
        <v/>
      </c>
      <c r="E27" s="3">
        <f>SUMIF('Primary Sales Entry'!B:B,A27,'Primary Sales Entry'!F:F)</f>
        <v/>
      </c>
    </row>
    <row r="28">
      <c r="A28" t="n">
        <v>24</v>
      </c>
      <c r="B28" t="inlineStr">
        <is>
          <t>Olympia (L)</t>
        </is>
      </c>
      <c r="C28" t="n">
        <v>10</v>
      </c>
      <c r="D28" s="3">
        <f>SUMIF('Primary Sales Entry'!B:B,A28,'Primary Sales Entry'!E:E)</f>
        <v/>
      </c>
      <c r="E28" s="3">
        <f>SUMIF('Primary Sales Entry'!B:B,A28,'Primary Sales Entry'!F:F)</f>
        <v/>
      </c>
    </row>
    <row r="29">
      <c r="A29" t="n">
        <v>25</v>
      </c>
      <c r="B29" t="inlineStr">
        <is>
          <t>Olympia (C)</t>
        </is>
      </c>
      <c r="C29" t="n">
        <v>10</v>
      </c>
      <c r="D29" s="3">
        <f>SUMIF('Primary Sales Entry'!B:B,A29,'Primary Sales Entry'!E:E)</f>
        <v/>
      </c>
      <c r="E29" s="3">
        <f>SUMIF('Primary Sales Entry'!B:B,A29,'Primary Sales Entry'!F:F)</f>
        <v/>
      </c>
    </row>
    <row r="30">
      <c r="A30" t="n">
        <v>26</v>
      </c>
      <c r="B30" t="inlineStr">
        <is>
          <t>Olympia (R)</t>
        </is>
      </c>
      <c r="C30" t="n">
        <v>20</v>
      </c>
      <c r="D30" s="3">
        <f>SUMIF('Primary Sales Entry'!B:B,A30,'Primary Sales Entry'!E:E)</f>
        <v/>
      </c>
      <c r="E30" s="3">
        <f>SUMIF('Primary Sales Entry'!B:B,A30,'Primary Sales Entry'!F:F)</f>
        <v/>
      </c>
    </row>
    <row r="31">
      <c r="A31" t="n">
        <v>27</v>
      </c>
      <c r="B31" t="inlineStr">
        <is>
          <t>Olympia (S)</t>
        </is>
      </c>
      <c r="C31" t="n">
        <v>20</v>
      </c>
      <c r="D31" s="3">
        <f>SUMIF('Primary Sales Entry'!B:B,A31,'Primary Sales Entry'!E:E)</f>
        <v/>
      </c>
      <c r="E31" s="3">
        <f>SUMIF('Primary Sales Entry'!B:B,A31,'Primary Sales Entry'!F:F)</f>
        <v/>
      </c>
    </row>
    <row r="32">
      <c r="A32" t="n">
        <v>28</v>
      </c>
      <c r="B32" t="inlineStr">
        <is>
          <t>Party (L)</t>
        </is>
      </c>
      <c r="C32" t="n">
        <v>10</v>
      </c>
      <c r="D32" s="3">
        <f>SUMIF('Primary Sales Entry'!B:B,A32,'Primary Sales Entry'!E:E)</f>
        <v/>
      </c>
      <c r="E32" s="3">
        <f>SUMIF('Primary Sales Entry'!B:B,A32,'Primary Sales Entry'!F:F)</f>
        <v/>
      </c>
    </row>
    <row r="33">
      <c r="A33" t="n">
        <v>29</v>
      </c>
      <c r="B33" t="inlineStr">
        <is>
          <t>Party (C)</t>
        </is>
      </c>
      <c r="C33" t="n">
        <v>10</v>
      </c>
      <c r="D33" s="3">
        <f>SUMIF('Primary Sales Entry'!B:B,A33,'Primary Sales Entry'!E:E)</f>
        <v/>
      </c>
      <c r="E33" s="3">
        <f>SUMIF('Primary Sales Entry'!B:B,A33,'Primary Sales Entry'!F:F)</f>
        <v/>
      </c>
    </row>
    <row r="34">
      <c r="A34" t="n">
        <v>30</v>
      </c>
      <c r="B34" t="inlineStr">
        <is>
          <t>Party (R)</t>
        </is>
      </c>
      <c r="C34" t="n">
        <v>20</v>
      </c>
      <c r="D34" s="3">
        <f>SUMIF('Primary Sales Entry'!B:B,A34,'Primary Sales Entry'!E:E)</f>
        <v/>
      </c>
      <c r="E34" s="3">
        <f>SUMIF('Primary Sales Entry'!B:B,A34,'Primary Sales Entry'!F:F)</f>
        <v/>
      </c>
    </row>
    <row r="35">
      <c r="A35" t="n">
        <v>31</v>
      </c>
      <c r="B35" t="inlineStr">
        <is>
          <t>Bird (L)</t>
        </is>
      </c>
      <c r="C35" t="n">
        <v>10</v>
      </c>
      <c r="D35" s="3">
        <f>SUMIF('Primary Sales Entry'!B:B,A35,'Primary Sales Entry'!E:E)</f>
        <v/>
      </c>
      <c r="E35" s="3">
        <f>SUMIF('Primary Sales Entry'!B:B,A35,'Primary Sales Entry'!F:F)</f>
        <v/>
      </c>
    </row>
    <row r="36">
      <c r="A36" t="n">
        <v>32</v>
      </c>
      <c r="B36" t="inlineStr">
        <is>
          <t>Bird (C)</t>
        </is>
      </c>
      <c r="C36" t="n">
        <v>10</v>
      </c>
      <c r="D36" s="3">
        <f>SUMIF('Primary Sales Entry'!B:B,A36,'Primary Sales Entry'!E:E)</f>
        <v/>
      </c>
      <c r="E36" s="3">
        <f>SUMIF('Primary Sales Entry'!B:B,A36,'Primary Sales Entry'!F:F)</f>
        <v/>
      </c>
    </row>
    <row r="37">
      <c r="A37" t="n">
        <v>33</v>
      </c>
      <c r="B37" t="inlineStr">
        <is>
          <t>Tanga (L)</t>
        </is>
      </c>
      <c r="C37" t="n">
        <v>10</v>
      </c>
      <c r="D37" s="3">
        <f>SUMIF('Primary Sales Entry'!B:B,A37,'Primary Sales Entry'!E:E)</f>
        <v/>
      </c>
      <c r="E37" s="3">
        <f>SUMIF('Primary Sales Entry'!B:B,A37,'Primary Sales Entry'!F:F)</f>
        <v/>
      </c>
    </row>
    <row r="38">
      <c r="A38" t="n">
        <v>34</v>
      </c>
      <c r="B38" t="inlineStr">
        <is>
          <t>Tanga (C)</t>
        </is>
      </c>
      <c r="C38" t="n">
        <v>10</v>
      </c>
      <c r="D38" s="3">
        <f>SUMIF('Primary Sales Entry'!B:B,A38,'Primary Sales Entry'!E:E)</f>
        <v/>
      </c>
      <c r="E38" s="3">
        <f>SUMIF('Primary Sales Entry'!B:B,A38,'Primary Sales Entry'!F:F)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6" customWidth="1" min="4" max="4"/>
    <col width="16" customWidth="1" min="5" max="5"/>
    <col width="18" customWidth="1" min="6" max="6"/>
    <col width="16" customWidth="1" min="7" max="7"/>
    <col width="14" customWidth="1" min="8" max="8"/>
  </cols>
  <sheetData>
    <row r="1">
      <c r="A1" s="1" t="inlineStr">
        <is>
          <t>STOCK RECONCILIATION REPORT</t>
        </is>
      </c>
    </row>
    <row r="3">
      <c r="A3" s="11" t="inlineStr">
        <is>
          <t>SKU #</t>
        </is>
      </c>
      <c r="B3" s="11" t="inlineStr">
        <is>
          <t>SKU Name</t>
        </is>
      </c>
      <c r="C3" s="11" t="inlineStr">
        <is>
          <t>Brand</t>
        </is>
      </c>
      <c r="D3" s="11" t="inlineStr">
        <is>
          <t>Opening Stock (Ctns)</t>
        </is>
      </c>
      <c r="E3" s="11" t="inlineStr">
        <is>
          <t>Primary Sales (Ctns)</t>
        </is>
      </c>
      <c r="F3" s="11" t="inlineStr">
        <is>
          <t>Secondary Sales (Ctns)</t>
        </is>
      </c>
      <c r="G3" s="11" t="inlineStr">
        <is>
          <t>Closing Stock (Ctns)</t>
        </is>
      </c>
      <c r="H3" s="11" t="inlineStr">
        <is>
          <t>Status</t>
        </is>
      </c>
    </row>
    <row r="4">
      <c r="A4" t="n">
        <v>1</v>
      </c>
      <c r="B4" t="inlineStr">
        <is>
          <t>Kite Rs 10</t>
        </is>
      </c>
      <c r="C4" t="inlineStr">
        <is>
          <t>Kite Glow</t>
        </is>
      </c>
      <c r="D4" s="3" t="n"/>
      <c r="E4" s="3">
        <f>'Primary Sales Summary'!D4</f>
        <v/>
      </c>
      <c r="F4" s="3">
        <f>'Secondary Sales Summary'!E4</f>
        <v/>
      </c>
      <c r="G4" s="3">
        <f>D4+E4-F4</f>
        <v/>
      </c>
      <c r="H4" s="12">
        <f>IF(G4&gt;0,"In Stock",IF(G4=0,"Zero","DEFICIT"))</f>
        <v/>
      </c>
    </row>
    <row r="5">
      <c r="A5" t="n">
        <v>2</v>
      </c>
      <c r="B5" t="inlineStr">
        <is>
          <t>Kite Rs 20</t>
        </is>
      </c>
      <c r="C5" t="inlineStr">
        <is>
          <t>Kite Glow</t>
        </is>
      </c>
      <c r="D5" s="3" t="n"/>
      <c r="E5" s="3">
        <f>'Primary Sales Summary'!D5</f>
        <v/>
      </c>
      <c r="F5" s="3">
        <f>'Secondary Sales Summary'!E5</f>
        <v/>
      </c>
      <c r="G5" s="3">
        <f>D5+E5-F5</f>
        <v/>
      </c>
      <c r="H5" s="12">
        <f>IF(G5&gt;0,"In Stock",IF(G5=0,"Zero","DEFICIT"))</f>
        <v/>
      </c>
    </row>
    <row r="6">
      <c r="A6" t="n">
        <v>3</v>
      </c>
      <c r="B6" t="inlineStr">
        <is>
          <t>Kite Rs 50</t>
        </is>
      </c>
      <c r="C6" t="inlineStr">
        <is>
          <t>Kite Glow</t>
        </is>
      </c>
      <c r="D6" s="3" t="n"/>
      <c r="E6" s="3">
        <f>'Primary Sales Summary'!D6</f>
        <v/>
      </c>
      <c r="F6" s="3">
        <f>'Secondary Sales Summary'!E6</f>
        <v/>
      </c>
      <c r="G6" s="3">
        <f>D6+E6-F6</f>
        <v/>
      </c>
      <c r="H6" s="12">
        <f>IF(G6&gt;0,"In Stock",IF(G6=0,"Zero","DEFICIT"))</f>
        <v/>
      </c>
    </row>
    <row r="7">
      <c r="A7" t="n">
        <v>4</v>
      </c>
      <c r="B7" t="inlineStr">
        <is>
          <t>Kite Rs 99</t>
        </is>
      </c>
      <c r="C7" t="inlineStr">
        <is>
          <t>Kite Glow</t>
        </is>
      </c>
      <c r="D7" s="3" t="n"/>
      <c r="E7" s="3">
        <f>'Primary Sales Summary'!D7</f>
        <v/>
      </c>
      <c r="F7" s="3">
        <f>'Secondary Sales Summary'!E7</f>
        <v/>
      </c>
      <c r="G7" s="3">
        <f>D7+E7-F7</f>
        <v/>
      </c>
      <c r="H7" s="12">
        <f>IF(G7&gt;0,"In Stock",IF(G7=0,"Zero","DEFICIT"))</f>
        <v/>
      </c>
    </row>
    <row r="8">
      <c r="A8" t="n">
        <v>5</v>
      </c>
      <c r="B8" t="inlineStr">
        <is>
          <t>Kite 0.5kg</t>
        </is>
      </c>
      <c r="C8" t="inlineStr">
        <is>
          <t>Kite Glow</t>
        </is>
      </c>
      <c r="D8" s="3" t="n"/>
      <c r="E8" s="3">
        <f>'Primary Sales Summary'!D8</f>
        <v/>
      </c>
      <c r="F8" s="3">
        <f>'Secondary Sales Summary'!E8</f>
        <v/>
      </c>
      <c r="G8" s="3">
        <f>D8+E8-F8</f>
        <v/>
      </c>
      <c r="H8" s="12">
        <f>IF(G8&gt;0,"In Stock",IF(G8=0,"Zero","DEFICIT"))</f>
        <v/>
      </c>
    </row>
    <row r="9">
      <c r="A9" t="n">
        <v>6</v>
      </c>
      <c r="B9" t="inlineStr">
        <is>
          <t>Kite 1kg</t>
        </is>
      </c>
      <c r="C9" t="inlineStr">
        <is>
          <t>Kite Glow</t>
        </is>
      </c>
      <c r="D9" s="3" t="n"/>
      <c r="E9" s="3">
        <f>'Primary Sales Summary'!D9</f>
        <v/>
      </c>
      <c r="F9" s="3">
        <f>'Secondary Sales Summary'!E9</f>
        <v/>
      </c>
      <c r="G9" s="3">
        <f>D9+E9-F9</f>
        <v/>
      </c>
      <c r="H9" s="12">
        <f>IF(G9&gt;0,"In Stock",IF(G9=0,"Zero","DEFICIT"))</f>
        <v/>
      </c>
    </row>
    <row r="10">
      <c r="A10" t="n">
        <v>7</v>
      </c>
      <c r="B10" t="inlineStr">
        <is>
          <t>Kite 2kg</t>
        </is>
      </c>
      <c r="C10" t="inlineStr">
        <is>
          <t>Kite Glow</t>
        </is>
      </c>
      <c r="D10" s="3" t="n"/>
      <c r="E10" s="3">
        <f>'Primary Sales Summary'!D10</f>
        <v/>
      </c>
      <c r="F10" s="3">
        <f>'Secondary Sales Summary'!E10</f>
        <v/>
      </c>
      <c r="G10" s="3">
        <f>D10+E10-F10</f>
        <v/>
      </c>
      <c r="H10" s="12">
        <f>IF(G10&gt;0,"In Stock",IF(G10=0,"Zero","DEFICIT"))</f>
        <v/>
      </c>
    </row>
    <row r="11">
      <c r="A11" t="n">
        <v>8</v>
      </c>
      <c r="B11" t="inlineStr">
        <is>
          <t>Burq Rs 10</t>
        </is>
      </c>
      <c r="C11" t="inlineStr">
        <is>
          <t>Burq Action</t>
        </is>
      </c>
      <c r="D11" s="3" t="n"/>
      <c r="E11" s="3">
        <f>'Primary Sales Summary'!D11</f>
        <v/>
      </c>
      <c r="F11" s="3">
        <f>'Secondary Sales Summary'!E11</f>
        <v/>
      </c>
      <c r="G11" s="3">
        <f>D11+E11-F11</f>
        <v/>
      </c>
      <c r="H11" s="12">
        <f>IF(G11&gt;0,"In Stock",IF(G11=0,"Zero","DEFICIT"))</f>
        <v/>
      </c>
    </row>
    <row r="12">
      <c r="A12" t="n">
        <v>9</v>
      </c>
      <c r="B12" t="inlineStr">
        <is>
          <t>Burq Rs 20</t>
        </is>
      </c>
      <c r="C12" t="inlineStr">
        <is>
          <t>Burq Action</t>
        </is>
      </c>
      <c r="D12" s="3" t="n"/>
      <c r="E12" s="3">
        <f>'Primary Sales Summary'!D12</f>
        <v/>
      </c>
      <c r="F12" s="3">
        <f>'Secondary Sales Summary'!E12</f>
        <v/>
      </c>
      <c r="G12" s="3">
        <f>D12+E12-F12</f>
        <v/>
      </c>
      <c r="H12" s="12">
        <f>IF(G12&gt;0,"In Stock",IF(G12=0,"Zero","DEFICIT"))</f>
        <v/>
      </c>
    </row>
    <row r="13">
      <c r="A13" t="n">
        <v>10</v>
      </c>
      <c r="B13" t="inlineStr">
        <is>
          <t>Burq Rs 50</t>
        </is>
      </c>
      <c r="C13" t="inlineStr">
        <is>
          <t>Burq Action</t>
        </is>
      </c>
      <c r="D13" s="3" t="n"/>
      <c r="E13" s="3">
        <f>'Primary Sales Summary'!D13</f>
        <v/>
      </c>
      <c r="F13" s="3">
        <f>'Secondary Sales Summary'!E13</f>
        <v/>
      </c>
      <c r="G13" s="3">
        <f>D13+E13-F13</f>
        <v/>
      </c>
      <c r="H13" s="12">
        <f>IF(G13&gt;0,"In Stock",IF(G13=0,"Zero","DEFICIT"))</f>
        <v/>
      </c>
    </row>
    <row r="14">
      <c r="A14" t="n">
        <v>11</v>
      </c>
      <c r="B14" t="inlineStr">
        <is>
          <t>Burq Rs 99</t>
        </is>
      </c>
      <c r="C14" t="inlineStr">
        <is>
          <t>Burq Action</t>
        </is>
      </c>
      <c r="D14" s="3" t="n"/>
      <c r="E14" s="3">
        <f>'Primary Sales Summary'!D14</f>
        <v/>
      </c>
      <c r="F14" s="3">
        <f>'Secondary Sales Summary'!E14</f>
        <v/>
      </c>
      <c r="G14" s="3">
        <f>D14+E14-F14</f>
        <v/>
      </c>
      <c r="H14" s="12">
        <f>IF(G14&gt;0,"In Stock",IF(G14=0,"Zero","DEFICIT"))</f>
        <v/>
      </c>
    </row>
    <row r="15">
      <c r="A15" t="n">
        <v>12</v>
      </c>
      <c r="B15" t="inlineStr">
        <is>
          <t>Burq 1kg</t>
        </is>
      </c>
      <c r="C15" t="inlineStr">
        <is>
          <t>Burq Action</t>
        </is>
      </c>
      <c r="D15" s="3" t="n"/>
      <c r="E15" s="3">
        <f>'Primary Sales Summary'!D15</f>
        <v/>
      </c>
      <c r="F15" s="3">
        <f>'Secondary Sales Summary'!E15</f>
        <v/>
      </c>
      <c r="G15" s="3">
        <f>D15+E15-F15</f>
        <v/>
      </c>
      <c r="H15" s="12">
        <f>IF(G15&gt;0,"In Stock",IF(G15=0,"Zero","DEFICIT"))</f>
        <v/>
      </c>
    </row>
    <row r="16">
      <c r="A16" t="n">
        <v>13</v>
      </c>
      <c r="B16" t="inlineStr">
        <is>
          <t>Burq 2.3kg</t>
        </is>
      </c>
      <c r="C16" t="inlineStr">
        <is>
          <t>Burq Action</t>
        </is>
      </c>
      <c r="D16" s="3" t="n"/>
      <c r="E16" s="3">
        <f>'Primary Sales Summary'!D16</f>
        <v/>
      </c>
      <c r="F16" s="3">
        <f>'Secondary Sales Summary'!E16</f>
        <v/>
      </c>
      <c r="G16" s="3">
        <f>D16+E16-F16</f>
        <v/>
      </c>
      <c r="H16" s="12">
        <f>IF(G16&gt;0,"In Stock",IF(G16=0,"Zero","DEFICIT"))</f>
        <v/>
      </c>
    </row>
    <row r="17">
      <c r="A17" t="n">
        <v>14</v>
      </c>
      <c r="B17" t="inlineStr">
        <is>
          <t>Vero 5kg</t>
        </is>
      </c>
      <c r="C17" t="inlineStr">
        <is>
          <t>Vero</t>
        </is>
      </c>
      <c r="D17" s="3" t="n"/>
      <c r="E17" s="3">
        <f>'Primary Sales Summary'!D17</f>
        <v/>
      </c>
      <c r="F17" s="3">
        <f>'Secondary Sales Summary'!E17</f>
        <v/>
      </c>
      <c r="G17" s="3">
        <f>D17+E17-F17</f>
        <v/>
      </c>
      <c r="H17" s="12">
        <f>IF(G17&gt;0,"In Stock",IF(G17=0,"Zero","DEFICIT"))</f>
        <v/>
      </c>
    </row>
    <row r="18">
      <c r="A18" t="n">
        <v>15</v>
      </c>
      <c r="B18" t="inlineStr">
        <is>
          <t>Vero 20kg</t>
        </is>
      </c>
      <c r="C18" t="inlineStr">
        <is>
          <t>Vero</t>
        </is>
      </c>
      <c r="D18" s="3" t="n"/>
      <c r="E18" s="3">
        <f>'Primary Sales Summary'!D18</f>
        <v/>
      </c>
      <c r="F18" s="3">
        <f>'Secondary Sales Summary'!E18</f>
        <v/>
      </c>
      <c r="G18" s="3">
        <f>D18+E18-F18</f>
        <v/>
      </c>
      <c r="H18" s="12">
        <f>IF(G18&gt;0,"In Stock",IF(G18=0,"Zero","DEFICIT"))</f>
        <v/>
      </c>
    </row>
    <row r="19">
      <c r="A19" t="n">
        <v>16</v>
      </c>
      <c r="B19" t="inlineStr">
        <is>
          <t>Regular</t>
        </is>
      </c>
      <c r="C19" t="inlineStr">
        <is>
          <t>DWB</t>
        </is>
      </c>
      <c r="D19" s="3" t="n"/>
      <c r="E19" s="3">
        <f>'Primary Sales Summary'!D19</f>
        <v/>
      </c>
      <c r="F19" s="3">
        <f>'Secondary Sales Summary'!E19</f>
        <v/>
      </c>
      <c r="G19" s="3">
        <f>D19+E19-F19</f>
        <v/>
      </c>
      <c r="H19" s="12">
        <f>IF(G19&gt;0,"In Stock",IF(G19=0,"Zero","DEFICIT"))</f>
        <v/>
      </c>
    </row>
    <row r="20">
      <c r="A20" t="n">
        <v>17</v>
      </c>
      <c r="B20" t="inlineStr">
        <is>
          <t>Large</t>
        </is>
      </c>
      <c r="C20" t="inlineStr">
        <is>
          <t>DWB</t>
        </is>
      </c>
      <c r="D20" s="3" t="n"/>
      <c r="E20" s="3">
        <f>'Primary Sales Summary'!D20</f>
        <v/>
      </c>
      <c r="F20" s="3">
        <f>'Secondary Sales Summary'!E20</f>
        <v/>
      </c>
      <c r="G20" s="3">
        <f>D20+E20-F20</f>
        <v/>
      </c>
      <c r="H20" s="12">
        <f>IF(G20&gt;0,"In Stock",IF(G20=0,"Zero","DEFICIT"))</f>
        <v/>
      </c>
    </row>
    <row r="21">
      <c r="A21" t="n">
        <v>18</v>
      </c>
      <c r="B21" t="inlineStr">
        <is>
          <t>Long Bar</t>
        </is>
      </c>
      <c r="C21" t="inlineStr">
        <is>
          <t>DWB</t>
        </is>
      </c>
      <c r="D21" s="3" t="n"/>
      <c r="E21" s="3">
        <f>'Primary Sales Summary'!D21</f>
        <v/>
      </c>
      <c r="F21" s="3">
        <f>'Secondary Sales Summary'!E21</f>
        <v/>
      </c>
      <c r="G21" s="3">
        <f>D21+E21-F21</f>
        <v/>
      </c>
      <c r="H21" s="12">
        <f>IF(G21&gt;0,"In Stock",IF(G21=0,"Zero","DEFICIT"))</f>
        <v/>
      </c>
    </row>
    <row r="22">
      <c r="A22" t="n">
        <v>19</v>
      </c>
      <c r="B22" t="inlineStr">
        <is>
          <t>Super Bar</t>
        </is>
      </c>
      <c r="C22" t="inlineStr">
        <is>
          <t>DWB</t>
        </is>
      </c>
      <c r="D22" s="3" t="n"/>
      <c r="E22" s="3">
        <f>'Primary Sales Summary'!D22</f>
        <v/>
      </c>
      <c r="F22" s="3">
        <f>'Secondary Sales Summary'!E22</f>
        <v/>
      </c>
      <c r="G22" s="3">
        <f>D22+E22-F22</f>
        <v/>
      </c>
      <c r="H22" s="12">
        <f>IF(G22&gt;0,"In Stock",IF(G22=0,"Zero","DEFICIT"))</f>
        <v/>
      </c>
    </row>
    <row r="23">
      <c r="A23" t="n">
        <v>20</v>
      </c>
      <c r="B23" t="inlineStr">
        <is>
          <t>Kite (L)</t>
        </is>
      </c>
      <c r="C23" t="inlineStr">
        <is>
          <t>Match</t>
        </is>
      </c>
      <c r="D23" s="3" t="n"/>
      <c r="E23" s="3">
        <f>'Primary Sales Summary'!D23</f>
        <v/>
      </c>
      <c r="F23" s="3">
        <f>'Secondary Sales Summary'!E23</f>
        <v/>
      </c>
      <c r="G23" s="3">
        <f>D23+E23-F23</f>
        <v/>
      </c>
      <c r="H23" s="12">
        <f>IF(G23&gt;0,"In Stock",IF(G23=0,"Zero","DEFICIT"))</f>
        <v/>
      </c>
    </row>
    <row r="24">
      <c r="A24" t="n">
        <v>21</v>
      </c>
      <c r="B24" t="inlineStr">
        <is>
          <t>Kite (C)</t>
        </is>
      </c>
      <c r="C24" t="inlineStr">
        <is>
          <t>Match</t>
        </is>
      </c>
      <c r="D24" s="3" t="n"/>
      <c r="E24" s="3">
        <f>'Primary Sales Summary'!D24</f>
        <v/>
      </c>
      <c r="F24" s="3">
        <f>'Secondary Sales Summary'!E24</f>
        <v/>
      </c>
      <c r="G24" s="3">
        <f>D24+E24-F24</f>
        <v/>
      </c>
      <c r="H24" s="12">
        <f>IF(G24&gt;0,"In Stock",IF(G24=0,"Zero","DEFICIT"))</f>
        <v/>
      </c>
    </row>
    <row r="25">
      <c r="A25" t="n">
        <v>22</v>
      </c>
      <c r="B25" t="inlineStr">
        <is>
          <t>Kite (R)</t>
        </is>
      </c>
      <c r="C25" t="inlineStr">
        <is>
          <t>Match</t>
        </is>
      </c>
      <c r="D25" s="3" t="n"/>
      <c r="E25" s="3">
        <f>'Primary Sales Summary'!D25</f>
        <v/>
      </c>
      <c r="F25" s="3">
        <f>'Secondary Sales Summary'!E25</f>
        <v/>
      </c>
      <c r="G25" s="3">
        <f>D25+E25-F25</f>
        <v/>
      </c>
      <c r="H25" s="12">
        <f>IF(G25&gt;0,"In Stock",IF(G25=0,"Zero","DEFICIT"))</f>
        <v/>
      </c>
    </row>
    <row r="26">
      <c r="A26" t="n">
        <v>23</v>
      </c>
      <c r="B26" t="inlineStr">
        <is>
          <t>Kite (S)</t>
        </is>
      </c>
      <c r="C26" t="inlineStr">
        <is>
          <t>Match</t>
        </is>
      </c>
      <c r="D26" s="3" t="n"/>
      <c r="E26" s="3">
        <f>'Primary Sales Summary'!D26</f>
        <v/>
      </c>
      <c r="F26" s="3">
        <f>'Secondary Sales Summary'!E26</f>
        <v/>
      </c>
      <c r="G26" s="3">
        <f>D26+E26-F26</f>
        <v/>
      </c>
      <c r="H26" s="12">
        <f>IF(G26&gt;0,"In Stock",IF(G26=0,"Zero","DEFICIT"))</f>
        <v/>
      </c>
    </row>
    <row r="27">
      <c r="A27" t="n">
        <v>24</v>
      </c>
      <c r="B27" t="inlineStr">
        <is>
          <t>Olympia (L)</t>
        </is>
      </c>
      <c r="C27" t="inlineStr">
        <is>
          <t>Match</t>
        </is>
      </c>
      <c r="D27" s="3" t="n"/>
      <c r="E27" s="3">
        <f>'Primary Sales Summary'!D27</f>
        <v/>
      </c>
      <c r="F27" s="3">
        <f>'Secondary Sales Summary'!E27</f>
        <v/>
      </c>
      <c r="G27" s="3">
        <f>D27+E27-F27</f>
        <v/>
      </c>
      <c r="H27" s="12">
        <f>IF(G27&gt;0,"In Stock",IF(G27=0,"Zero","DEFICIT"))</f>
        <v/>
      </c>
    </row>
    <row r="28">
      <c r="A28" t="n">
        <v>25</v>
      </c>
      <c r="B28" t="inlineStr">
        <is>
          <t>Olympia (C)</t>
        </is>
      </c>
      <c r="C28" t="inlineStr">
        <is>
          <t>Match</t>
        </is>
      </c>
      <c r="D28" s="3" t="n"/>
      <c r="E28" s="3">
        <f>'Primary Sales Summary'!D28</f>
        <v/>
      </c>
      <c r="F28" s="3">
        <f>'Secondary Sales Summary'!E28</f>
        <v/>
      </c>
      <c r="G28" s="3">
        <f>D28+E28-F28</f>
        <v/>
      </c>
      <c r="H28" s="12">
        <f>IF(G28&gt;0,"In Stock",IF(G28=0,"Zero","DEFICIT"))</f>
        <v/>
      </c>
    </row>
    <row r="29">
      <c r="A29" t="n">
        <v>26</v>
      </c>
      <c r="B29" t="inlineStr">
        <is>
          <t>Olympia (R)</t>
        </is>
      </c>
      <c r="C29" t="inlineStr">
        <is>
          <t>Match</t>
        </is>
      </c>
      <c r="D29" s="3" t="n"/>
      <c r="E29" s="3">
        <f>'Primary Sales Summary'!D29</f>
        <v/>
      </c>
      <c r="F29" s="3">
        <f>'Secondary Sales Summary'!E29</f>
        <v/>
      </c>
      <c r="G29" s="3">
        <f>D29+E29-F29</f>
        <v/>
      </c>
      <c r="H29" s="12">
        <f>IF(G29&gt;0,"In Stock",IF(G29=0,"Zero","DEFICIT"))</f>
        <v/>
      </c>
    </row>
    <row r="30">
      <c r="A30" t="n">
        <v>27</v>
      </c>
      <c r="B30" t="inlineStr">
        <is>
          <t>Olympia (S)</t>
        </is>
      </c>
      <c r="C30" t="inlineStr">
        <is>
          <t>Match</t>
        </is>
      </c>
      <c r="D30" s="3" t="n"/>
      <c r="E30" s="3">
        <f>'Primary Sales Summary'!D30</f>
        <v/>
      </c>
      <c r="F30" s="3">
        <f>'Secondary Sales Summary'!E30</f>
        <v/>
      </c>
      <c r="G30" s="3">
        <f>D30+E30-F30</f>
        <v/>
      </c>
      <c r="H30" s="12">
        <f>IF(G30&gt;0,"In Stock",IF(G30=0,"Zero","DEFICIT"))</f>
        <v/>
      </c>
    </row>
    <row r="31">
      <c r="A31" t="n">
        <v>28</v>
      </c>
      <c r="B31" t="inlineStr">
        <is>
          <t>Party (L)</t>
        </is>
      </c>
      <c r="C31" t="inlineStr">
        <is>
          <t>Match</t>
        </is>
      </c>
      <c r="D31" s="3" t="n"/>
      <c r="E31" s="3">
        <f>'Primary Sales Summary'!D31</f>
        <v/>
      </c>
      <c r="F31" s="3">
        <f>'Secondary Sales Summary'!E31</f>
        <v/>
      </c>
      <c r="G31" s="3">
        <f>D31+E31-F31</f>
        <v/>
      </c>
      <c r="H31" s="12">
        <f>IF(G31&gt;0,"In Stock",IF(G31=0,"Zero","DEFICIT"))</f>
        <v/>
      </c>
    </row>
    <row r="32">
      <c r="A32" t="n">
        <v>29</v>
      </c>
      <c r="B32" t="inlineStr">
        <is>
          <t>Party (C)</t>
        </is>
      </c>
      <c r="C32" t="inlineStr">
        <is>
          <t>Match</t>
        </is>
      </c>
      <c r="D32" s="3" t="n"/>
      <c r="E32" s="3">
        <f>'Primary Sales Summary'!D32</f>
        <v/>
      </c>
      <c r="F32" s="3">
        <f>'Secondary Sales Summary'!E32</f>
        <v/>
      </c>
      <c r="G32" s="3">
        <f>D32+E32-F32</f>
        <v/>
      </c>
      <c r="H32" s="12">
        <f>IF(G32&gt;0,"In Stock",IF(G32=0,"Zero","DEFICIT"))</f>
        <v/>
      </c>
    </row>
    <row r="33">
      <c r="A33" t="n">
        <v>30</v>
      </c>
      <c r="B33" t="inlineStr">
        <is>
          <t>Party (R)</t>
        </is>
      </c>
      <c r="C33" t="inlineStr">
        <is>
          <t>Match</t>
        </is>
      </c>
      <c r="D33" s="3" t="n"/>
      <c r="E33" s="3">
        <f>'Primary Sales Summary'!D33</f>
        <v/>
      </c>
      <c r="F33" s="3">
        <f>'Secondary Sales Summary'!E33</f>
        <v/>
      </c>
      <c r="G33" s="3">
        <f>D33+E33-F33</f>
        <v/>
      </c>
      <c r="H33" s="12">
        <f>IF(G33&gt;0,"In Stock",IF(G33=0,"Zero","DEFICIT"))</f>
        <v/>
      </c>
    </row>
    <row r="34">
      <c r="A34" t="n">
        <v>31</v>
      </c>
      <c r="B34" t="inlineStr">
        <is>
          <t>Bird (L)</t>
        </is>
      </c>
      <c r="C34" t="inlineStr">
        <is>
          <t>Match</t>
        </is>
      </c>
      <c r="D34" s="3" t="n"/>
      <c r="E34" s="3">
        <f>'Primary Sales Summary'!D34</f>
        <v/>
      </c>
      <c r="F34" s="3">
        <f>'Secondary Sales Summary'!E34</f>
        <v/>
      </c>
      <c r="G34" s="3">
        <f>D34+E34-F34</f>
        <v/>
      </c>
      <c r="H34" s="12">
        <f>IF(G34&gt;0,"In Stock",IF(G34=0,"Zero","DEFICIT"))</f>
        <v/>
      </c>
    </row>
    <row r="35">
      <c r="A35" t="n">
        <v>32</v>
      </c>
      <c r="B35" t="inlineStr">
        <is>
          <t>Bird (C)</t>
        </is>
      </c>
      <c r="C35" t="inlineStr">
        <is>
          <t>Match</t>
        </is>
      </c>
      <c r="D35" s="3" t="n"/>
      <c r="E35" s="3">
        <f>'Primary Sales Summary'!D35</f>
        <v/>
      </c>
      <c r="F35" s="3">
        <f>'Secondary Sales Summary'!E35</f>
        <v/>
      </c>
      <c r="G35" s="3">
        <f>D35+E35-F35</f>
        <v/>
      </c>
      <c r="H35" s="12">
        <f>IF(G35&gt;0,"In Stock",IF(G35=0,"Zero","DEFICIT"))</f>
        <v/>
      </c>
    </row>
    <row r="36">
      <c r="A36" t="n">
        <v>33</v>
      </c>
      <c r="B36" t="inlineStr">
        <is>
          <t>Tanga (L)</t>
        </is>
      </c>
      <c r="C36" t="inlineStr">
        <is>
          <t>Match</t>
        </is>
      </c>
      <c r="D36" s="3" t="n"/>
      <c r="E36" s="3">
        <f>'Primary Sales Summary'!D36</f>
        <v/>
      </c>
      <c r="F36" s="3">
        <f>'Secondary Sales Summary'!E36</f>
        <v/>
      </c>
      <c r="G36" s="3">
        <f>D36+E36-F36</f>
        <v/>
      </c>
      <c r="H36" s="12">
        <f>IF(G36&gt;0,"In Stock",IF(G36=0,"Zero","DEFICIT"))</f>
        <v/>
      </c>
    </row>
    <row r="37">
      <c r="A37" t="n">
        <v>34</v>
      </c>
      <c r="B37" t="inlineStr">
        <is>
          <t>Tanga (C)</t>
        </is>
      </c>
      <c r="C37" t="inlineStr">
        <is>
          <t>Match</t>
        </is>
      </c>
      <c r="D37" s="3" t="n"/>
      <c r="E37" s="3">
        <f>'Primary Sales Summary'!D37</f>
        <v/>
      </c>
      <c r="F37" s="3">
        <f>'Secondary Sales Summary'!E37</f>
        <v/>
      </c>
      <c r="G37" s="3">
        <f>D37+E37-F37</f>
        <v/>
      </c>
      <c r="H37" s="12">
        <f>IF(G37&gt;0,"In Stock",IF(G37=0,"Zero","DEFICIT"))</f>
        <v/>
      </c>
    </row>
    <row r="38">
      <c r="A38" s="10" t="inlineStr">
        <is>
          <t>TOTALS</t>
        </is>
      </c>
      <c r="D38" s="13">
        <f>SUM(D4:D37)</f>
        <v/>
      </c>
      <c r="E38" s="13">
        <f>SUM(E4:E37)</f>
        <v/>
      </c>
      <c r="F38" s="13">
        <f>SUM(F4:F37)</f>
        <v/>
      </c>
      <c r="G38" s="13">
        <f>SUM(G4:G37)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MONTHLY SALES &amp; STOCK DASHBOARD</t>
        </is>
      </c>
    </row>
    <row r="3">
      <c r="A3" s="7" t="inlineStr">
        <is>
          <t>SALES SUMMARY</t>
        </is>
      </c>
    </row>
    <row r="5">
      <c r="A5" s="2" t="inlineStr">
        <is>
          <t>Metric</t>
        </is>
      </c>
      <c r="B5" s="2" t="inlineStr">
        <is>
          <t>Value</t>
        </is>
      </c>
    </row>
    <row r="6">
      <c r="A6" t="inlineStr">
        <is>
          <t>Total Primary Sales (Ctns)</t>
        </is>
      </c>
      <c r="B6" s="3">
        <f>SUM('Primary Sales Summary'!D5:D38)</f>
        <v/>
      </c>
    </row>
    <row r="7">
      <c r="A7" t="inlineStr">
        <is>
          <t>Total Secondary Sales (Packs)</t>
        </is>
      </c>
      <c r="B7" s="9">
        <f>SUM('Secondary Sales Summary'!D5:D38)</f>
        <v/>
      </c>
    </row>
    <row r="8">
      <c r="A8" t="inlineStr">
        <is>
          <t>Total Secondary Sales (Ctns)</t>
        </is>
      </c>
      <c r="B8" s="3">
        <f>SUM('Secondary Sales Summary'!E5:E38)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2026-05-19T19:02:43Z</dcterms:created>
  <dcterms:modified xsi:type="dcterms:W3CDTF">2026-05-19T19:02:44Z</dcterms:modified>
</cp:coreProperties>
</file>